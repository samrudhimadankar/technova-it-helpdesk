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ru\OneDrive\Desktop\5th SEM SUBJECTS\Software Engineering LAB\PROJECT\"/>
    </mc:Choice>
  </mc:AlternateContent>
  <bookViews>
    <workbookView xWindow="0" yWindow="0" windowWidth="23040" windowHeight="8892" tabRatio="500" activeTab="2"/>
  </bookViews>
  <sheets>
    <sheet name="Summary" sheetId="1" r:id="rId1"/>
    <sheet name="Black-Box Test Cases" sheetId="2" r:id="rId2"/>
    <sheet name="White-Box" sheetId="5" r:id="rId3"/>
    <sheet name="BVA" sheetId="3" r:id="rId4"/>
    <sheet name="ECP" sheetId="4" r:id="rId5"/>
    <sheet name="Bug Report" sheetId="6" r:id="rId6"/>
    <sheet name="Automated Tests" sheetId="7" r:id="rId7"/>
  </sheets>
  <definedNames>
    <definedName name="_xlnm._FilterDatabase" localSheetId="1" hidden="1">'Black-Box Test Cases'!$A$1:$N$54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8" i="5" l="1"/>
  <c r="B47" i="5"/>
  <c r="B21" i="5"/>
  <c r="B20" i="5"/>
  <c r="B35" i="1"/>
  <c r="B34" i="1"/>
  <c r="B33" i="1"/>
  <c r="B32" i="1"/>
  <c r="B28" i="1"/>
  <c r="B27" i="1"/>
  <c r="B26" i="1"/>
  <c r="B25" i="1"/>
  <c r="B24" i="1"/>
  <c r="F19" i="1"/>
  <c r="E19" i="1"/>
  <c r="D19" i="1"/>
  <c r="C19" i="1"/>
  <c r="B19" i="1"/>
  <c r="G19" i="1" s="1"/>
  <c r="F18" i="1"/>
  <c r="E18" i="1"/>
  <c r="D18" i="1"/>
  <c r="C18" i="1"/>
  <c r="B18" i="1"/>
  <c r="G18" i="1" s="1"/>
  <c r="F17" i="1"/>
  <c r="E17" i="1"/>
  <c r="D17" i="1"/>
  <c r="C17" i="1"/>
  <c r="B17" i="1"/>
  <c r="G17" i="1" s="1"/>
  <c r="F16" i="1"/>
  <c r="E16" i="1"/>
  <c r="D16" i="1"/>
  <c r="C16" i="1"/>
  <c r="B16" i="1"/>
  <c r="G16" i="1" s="1"/>
  <c r="F15" i="1"/>
  <c r="F20" i="1" s="1"/>
  <c r="E15" i="1"/>
  <c r="E20" i="1" s="1"/>
  <c r="D15" i="1"/>
  <c r="D20" i="1" s="1"/>
  <c r="C15" i="1"/>
  <c r="C20" i="1" s="1"/>
  <c r="B15" i="1"/>
  <c r="B20" i="1" s="1"/>
  <c r="G20" i="1" s="1"/>
  <c r="G15" i="1" l="1"/>
</calcChain>
</file>

<file path=xl/sharedStrings.xml><?xml version="1.0" encoding="utf-8"?>
<sst xmlns="http://schemas.openxmlformats.org/spreadsheetml/2006/main" count="1832" uniqueCount="872">
  <si>
    <t>TechNova IT Helpdesk: Test Report</t>
  </si>
  <si>
    <t>Project</t>
  </si>
  <si>
    <t>TechNova IT Helpdesk (Jira space TNH)</t>
  </si>
  <si>
    <t>Application</t>
  </si>
  <si>
    <t>Flask + SQLite web app</t>
  </si>
  <si>
    <t>Build tested first</t>
  </si>
  <si>
    <t>v1.0</t>
  </si>
  <si>
    <t>Build after bug fixes</t>
  </si>
  <si>
    <t>v1.1</t>
  </si>
  <si>
    <t>Test environment</t>
  </si>
  <si>
    <t>Chrome browser, deployed site https://samrudhi.pythonanywhere.com</t>
  </si>
  <si>
    <t>Jira stories covered</t>
  </si>
  <si>
    <t>TNH-5, TNH-7, TNH-11, TNH-12, TNH-13</t>
  </si>
  <si>
    <t>Jira test subtasks</t>
  </si>
  <si>
    <t>TNH-15 Functional (Black-Box), TNH-16 BVA &amp; ECP (Black-Box), TNH-17 Unit (White-Box), TNH-18 Integration, TNH-19 Bug Fix &amp; Retest</t>
  </si>
  <si>
    <t>Tester</t>
  </si>
  <si>
    <t>Date</t>
  </si>
  <si>
    <t>Black-box results by module</t>
  </si>
  <si>
    <t>Module (Jira)</t>
  </si>
  <si>
    <t>Total cases</t>
  </si>
  <si>
    <t>Pass v1.0</t>
  </si>
  <si>
    <t>Fail v1.0</t>
  </si>
  <si>
    <t>Pass v1.1 (retest)</t>
  </si>
  <si>
    <t>Fail v1.1</t>
  </si>
  <si>
    <t>Pass % v1.1</t>
  </si>
  <si>
    <t>TNH-5 Registration &amp; Login</t>
  </si>
  <si>
    <t>TNH-7 Profile &amp; Logout</t>
  </si>
  <si>
    <t>TNH-11 Create &amp; View / Search</t>
  </si>
  <si>
    <t>TNH-12 Assign &amp; Update</t>
  </si>
  <si>
    <t>TNH-13 Resolve &amp; Close</t>
  </si>
  <si>
    <t>TOTAL</t>
  </si>
  <si>
    <t>Automated tests (pytest)</t>
  </si>
  <si>
    <t>Total automated tests</t>
  </si>
  <si>
    <t>Unit tests (white-box)</t>
  </si>
  <si>
    <t>Integration tests</t>
  </si>
  <si>
    <t>Bug regression tests</t>
  </si>
  <si>
    <t>Passed</t>
  </si>
  <si>
    <t>Statement coverage</t>
  </si>
  <si>
    <t>96% app.py, 100% validators.py / workflow.py / db.py, 97% overall (branch coverage on)</t>
  </si>
  <si>
    <t>Defects</t>
  </si>
  <si>
    <t>Bugs found</t>
  </si>
  <si>
    <t>Bugs fixed and retested</t>
  </si>
  <si>
    <t>Medium severity</t>
  </si>
  <si>
    <t>Low severity</t>
  </si>
  <si>
    <t>TC ID</t>
  </si>
  <si>
    <t>Jira Story</t>
  </si>
  <si>
    <t>Module</t>
  </si>
  <si>
    <t>Test Scenario</t>
  </si>
  <si>
    <t>Technique</t>
  </si>
  <si>
    <t>Pre-condition</t>
  </si>
  <si>
    <t>Test Steps</t>
  </si>
  <si>
    <t>Test Data</t>
  </si>
  <si>
    <t>Expected Result</t>
  </si>
  <si>
    <t>Actual Result (v1.0)</t>
  </si>
  <si>
    <t>Status (v1.0)</t>
  </si>
  <si>
    <t>Actual Result (v1.1 retest)</t>
  </si>
  <si>
    <t>Final Status</t>
  </si>
  <si>
    <t>Bug ID</t>
  </si>
  <si>
    <t>TC-01</t>
  </si>
  <si>
    <t>TNH-5</t>
  </si>
  <si>
    <t>Registration</t>
  </si>
  <si>
    <t>Register with all valid details</t>
  </si>
  <si>
    <t>ECP (valid class)</t>
  </si>
  <si>
    <t>User not logged in</t>
  </si>
  <si>
    <t>1. Open /register
2. Fill all fields
3. Click Register</t>
  </si>
  <si>
    <t>Name: Riya Sharma, Email: riya@technova.com, Pwd: Riya1234</t>
  </si>
  <si>
    <t>Account created message, redirected to Login page</t>
  </si>
  <si>
    <t>Account created. You can log in now. (page: /login)</t>
  </si>
  <si>
    <t>Pass</t>
  </si>
  <si>
    <t>Same as v1.0</t>
  </si>
  <si>
    <t>TC-02</t>
  </si>
  <si>
    <t>Register with an email that already exists</t>
  </si>
  <si>
    <t>ECP (invalid class)</t>
  </si>
  <si>
    <t>noah@technova.com already registered</t>
  </si>
  <si>
    <t>1. Open /register
2. Use existing email
3. Click Register</t>
  </si>
  <si>
    <t>Email: noah@technova.com</t>
  </si>
  <si>
    <t>Error: An account with this email already exists</t>
  </si>
  <si>
    <t>An account with this email already exists.</t>
  </si>
  <si>
    <t>TC-03</t>
  </si>
  <si>
    <t>Password and Confirm Password do not match</t>
  </si>
  <si>
    <t>1. Open /register
2. Enter different confirm password
3. Click Register</t>
  </si>
  <si>
    <t>Pwd: Riya1234, Confirm: Riya4321</t>
  </si>
  <si>
    <t>Error: Passwords do not match</t>
  </si>
  <si>
    <t>Passwords do not match.</t>
  </si>
  <si>
    <t>TC-04</t>
  </si>
  <si>
    <t>Name with 1 character (min - 1)</t>
  </si>
  <si>
    <t>BVA</t>
  </si>
  <si>
    <t>1. Open /register
2. Enter 1-letter name
3. Click Register</t>
  </si>
  <si>
    <t>Name: A</t>
  </si>
  <si>
    <t>Error: Name must be 2 to 50 characters</t>
  </si>
  <si>
    <t>Name must be 2 to 50 characters.</t>
  </si>
  <si>
    <t>TC-05</t>
  </si>
  <si>
    <t>Name with 2 characters (min)</t>
  </si>
  <si>
    <t>1. Open /register
2. Enter 2-letter name
3. Click Register</t>
  </si>
  <si>
    <t>Name: Al</t>
  </si>
  <si>
    <t>Account created</t>
  </si>
  <si>
    <t>Account created. You can log in now.</t>
  </si>
  <si>
    <t>TC-06</t>
  </si>
  <si>
    <t>Password with 7 characters (min - 1)</t>
  </si>
  <si>
    <t>1. Open /register
2. Enter 7-char password
3. Click Register</t>
  </si>
  <si>
    <t>Pwd: abcde12</t>
  </si>
  <si>
    <t>Error: Password must be at least 8 characters</t>
  </si>
  <si>
    <t>Password must be at least 8 characters.</t>
  </si>
  <si>
    <t>TC-07</t>
  </si>
  <si>
    <t>Password with exactly 8 characters (min)</t>
  </si>
  <si>
    <t>1. Open /register
2. Enter 8-char password
3. Click Register</t>
  </si>
  <si>
    <t>Pwd: abcdef12, Email: tester@technova.com</t>
  </si>
  <si>
    <t>TC-08</t>
  </si>
  <si>
    <t>Password with exactly 20 characters (max)</t>
  </si>
  <si>
    <t>1. Open /register
2. Enter 20-char password
3. Click Register</t>
  </si>
  <si>
    <t>Pwd: abcdefghij123456789x</t>
  </si>
  <si>
    <t>TC-09</t>
  </si>
  <si>
    <t>Password with 21 characters (max + 1)</t>
  </si>
  <si>
    <t>1. Open /register
2. Enter 21-char password
3. Click Register</t>
  </si>
  <si>
    <t>Pwd: abcdefghij123456789xy</t>
  </si>
  <si>
    <t>Error: Password must be at most 20 characters</t>
  </si>
  <si>
    <t>Password must be at most 20 characters.</t>
  </si>
  <si>
    <t>TC-10</t>
  </si>
  <si>
    <t>Password with digits only</t>
  </si>
  <si>
    <t>1. Open /register
2. Enter numeric password
3. Click Register</t>
  </si>
  <si>
    <t>Pwd: 12345678</t>
  </si>
  <si>
    <t>Error: Password must contain at least one letter</t>
  </si>
  <si>
    <t>Password must contain at least one letter.</t>
  </si>
  <si>
    <t>TC-11</t>
  </si>
  <si>
    <t>Invalid email format (no @)</t>
  </si>
  <si>
    <t>1. Open /register
2. Enter email without @
3. Click Register</t>
  </si>
  <si>
    <t>Email: riyatechnova.com</t>
  </si>
  <si>
    <t>Error: Enter a valid email address</t>
  </si>
  <si>
    <t>Enter a valid email address.</t>
  </si>
  <si>
    <t>TC-12</t>
  </si>
  <si>
    <t>Submit registration with all fields empty</t>
  </si>
  <si>
    <t>1. Open /register
2. Leave everything blank
3. Click Register</t>
  </si>
  <si>
    <t>(blank)</t>
  </si>
  <si>
    <t>Errors: Name is required, Email is required, Password is required</t>
  </si>
  <si>
    <t>Name is required. | Email is required. | Password is required.</t>
  </si>
  <si>
    <t>TC-13</t>
  </si>
  <si>
    <t>Login</t>
  </si>
  <si>
    <t>Login with valid credentials</t>
  </si>
  <si>
    <t>Admin account exists</t>
  </si>
  <si>
    <t>1. Open /login
2. Enter email + password
3. Click Log in</t>
  </si>
  <si>
    <t>admin@technova.com / Admin@123</t>
  </si>
  <si>
    <t>Redirect to Dashboard with Welcome message</t>
  </si>
  <si>
    <t>Welcome back, Samrudhi Madankar! (page: /dashboard)</t>
  </si>
  <si>
    <t>TC-14</t>
  </si>
  <si>
    <t>Login with wrong password</t>
  </si>
  <si>
    <t>1. Open /login
2. Enter correct email, wrong password
3. Click Log in</t>
  </si>
  <si>
    <t>admin@technova.com / Wrong123</t>
  </si>
  <si>
    <t>Error: Invalid email or password</t>
  </si>
  <si>
    <t>Invalid email or password.</t>
  </si>
  <si>
    <t>TC-15</t>
  </si>
  <si>
    <t>Login with unregistered email</t>
  </si>
  <si>
    <t>-</t>
  </si>
  <si>
    <t>1. Open /login
2. Enter unknown email
3. Click Log in</t>
  </si>
  <si>
    <t>ghost@technova.com / Ghost123</t>
  </si>
  <si>
    <t>TC-16</t>
  </si>
  <si>
    <t>Login with empty fields</t>
  </si>
  <si>
    <t>1. Open /login
2. Leave both blank
3. Click Log in</t>
  </si>
  <si>
    <t>Error: Email and password are required</t>
  </si>
  <si>
    <t>Email and password are required.</t>
  </si>
  <si>
    <t>TC-17</t>
  </si>
  <si>
    <t>Login with email typed in CAPITAL letters</t>
  </si>
  <si>
    <t>noah@technova.com exists</t>
  </si>
  <si>
    <t>1. Open /login
2. Enter email in uppercase
3. Click Log in</t>
  </si>
  <si>
    <t>NOAH@TECHNOVA.COM / User@1234</t>
  </si>
  <si>
    <t>Login succeeds (email is case-insensitive)</t>
  </si>
  <si>
    <t>Welcome back, Noah!</t>
  </si>
  <si>
    <t>TC-18</t>
  </si>
  <si>
    <t>Open a protected page without logging in</t>
  </si>
  <si>
    <t>Use case / security</t>
  </si>
  <si>
    <t>1. Directly open /tickets in browser</t>
  </si>
  <si>
    <t>URL: /tickets</t>
  </si>
  <si>
    <t>Redirect to Login with 'Please log in first'</t>
  </si>
  <si>
    <t>Please log in first. (page: /login?next=/tickets)</t>
  </si>
  <si>
    <t>TC-19</t>
  </si>
  <si>
    <t>TNH-7</t>
  </si>
  <si>
    <t>Profile</t>
  </si>
  <si>
    <t>Update name and department</t>
  </si>
  <si>
    <t>Logged in as tester@technova.com</t>
  </si>
  <si>
    <t>1. Open Profile
2. Change name + department
3. Click Save changes</t>
  </si>
  <si>
    <t>Name: Test Engineer QA, Dept: Quality</t>
  </si>
  <si>
    <t>Profile updated, new name shown in top bar</t>
  </si>
  <si>
    <t>Profile updated.</t>
  </si>
  <si>
    <t>TC-20</t>
  </si>
  <si>
    <t>Update name with digits</t>
  </si>
  <si>
    <t>Logged in</t>
  </si>
  <si>
    <t>1. Open Profile
2. Enter name with numbers
3. Click Save</t>
  </si>
  <si>
    <t>Name: Tester99</t>
  </si>
  <si>
    <t>Error: Name can only contain letters...</t>
  </si>
  <si>
    <t>Name can only contain letters, spaces, dots, hyphens and apostrophes.</t>
  </si>
  <si>
    <t>TC-21</t>
  </si>
  <si>
    <t>Change password with wrong current password</t>
  </si>
  <si>
    <t>1. Open Profile
2. Enter wrong current password
3. Click Change password</t>
  </si>
  <si>
    <t>Current: wrongpass1, New: newpass123</t>
  </si>
  <si>
    <t>Error: Current password is wrong</t>
  </si>
  <si>
    <t>Current password is wrong.</t>
  </si>
  <si>
    <t>TC-22</t>
  </si>
  <si>
    <t>Change password successfully, then log in with new one</t>
  </si>
  <si>
    <t>Use case flow</t>
  </si>
  <si>
    <t>1. Open Profile
2. Enter current + new password
3. Logout
4. Login with new password</t>
  </si>
  <si>
    <t>Current: abcdef12, New: newpass123</t>
  </si>
  <si>
    <t>Password changed; new password works</t>
  </si>
  <si>
    <t>Password changed.; re-login -&gt; /dashboard</t>
  </si>
  <si>
    <t>TC-23</t>
  </si>
  <si>
    <t>Logout</t>
  </si>
  <si>
    <t>Logout and try to go back to dashboard</t>
  </si>
  <si>
    <t>1. Click Logout
2. Open /dashboard</t>
  </si>
  <si>
    <t>Logged out message; /dashboard redirects to Login</t>
  </si>
  <si>
    <t>You have been logged out.; /dashboard -&gt; /login?next=/dashboard</t>
  </si>
  <si>
    <t>TC-24</t>
  </si>
  <si>
    <t>Department with 5000 characters</t>
  </si>
  <si>
    <t>BVA (way above max)</t>
  </si>
  <si>
    <t>1. Open Profile
2. Paste 5000 chars in Department
3. Click Save</t>
  </si>
  <si>
    <t>Department: 'x' * 5000</t>
  </si>
  <si>
    <t>Error: Department must be at most 50 characters</t>
  </si>
  <si>
    <t>Fail</t>
  </si>
  <si>
    <t>Department must be at most 50 characters.</t>
  </si>
  <si>
    <t>BUG-04</t>
  </si>
  <si>
    <t>TC-25</t>
  </si>
  <si>
    <t>TNH-11</t>
  </si>
  <si>
    <t>Create Ticket</t>
  </si>
  <si>
    <t>Create ticket with valid details</t>
  </si>
  <si>
    <t>Logged in as Noah (employee)</t>
  </si>
  <si>
    <t>1. Click + New Ticket
2. Fill form
3. Click Submit</t>
  </si>
  <si>
    <t>Title: Outlook not syncing, Desc: Emails stopped syncing since morning, Software, High</t>
  </si>
  <si>
    <t>TKT-0004 created, status Open, Unassigned</t>
  </si>
  <si>
    <t>Ticket TKT-0004 created.; status=Open; assignee=Unassigned</t>
  </si>
  <si>
    <t>TC-26</t>
  </si>
  <si>
    <t>Title with 4 characters (min - 1)</t>
  </si>
  <si>
    <t>1. New Ticket
2. Enter 4-char title
3. Submit</t>
  </si>
  <si>
    <t>Title: abcd</t>
  </si>
  <si>
    <t>Error: Title must be at least 5 characters</t>
  </si>
  <si>
    <t>Title must be at least 5 characters.</t>
  </si>
  <si>
    <t>TC-27</t>
  </si>
  <si>
    <t>Title with 5 characters (min)</t>
  </si>
  <si>
    <t>1. New Ticket
2. Enter 5-char title
3. Submit</t>
  </si>
  <si>
    <t>Title: Mouse</t>
  </si>
  <si>
    <t>Ticket created</t>
  </si>
  <si>
    <t>Ticket TKT-0005 created.</t>
  </si>
  <si>
    <t>TC-28</t>
  </si>
  <si>
    <t>Title with 100 characters (max)</t>
  </si>
  <si>
    <t>1. New Ticket
2. Enter 100-char title
3. Submit</t>
  </si>
  <si>
    <t>Title: 'T' * 100</t>
  </si>
  <si>
    <t>Ticket TKT-0006 created.</t>
  </si>
  <si>
    <t>TC-29</t>
  </si>
  <si>
    <t>Title with 101 characters (max + 1)</t>
  </si>
  <si>
    <t>1. New Ticket
2. Enter 101-char title
3. Submit</t>
  </si>
  <si>
    <t>Title: 'T' * 101</t>
  </si>
  <si>
    <t>Error: Title must be at most 100 characters</t>
  </si>
  <si>
    <t>Title must be at most 100 characters.</t>
  </si>
  <si>
    <t>TC-30</t>
  </si>
  <si>
    <t>Description with 9 characters (min - 1)</t>
  </si>
  <si>
    <t>1. New Ticket
2. Enter 9-char description
3. Submit</t>
  </si>
  <si>
    <t>Desc: 123456789</t>
  </si>
  <si>
    <t>Error: Description must be at least 10 characters</t>
  </si>
  <si>
    <t>Description must be at least 10 characters.</t>
  </si>
  <si>
    <t>TC-31</t>
  </si>
  <si>
    <t>Description with 10 characters (min)</t>
  </si>
  <si>
    <t>1. New Ticket
2. Enter 10-char description
3. Submit</t>
  </si>
  <si>
    <t>Desc: Keys stuck</t>
  </si>
  <si>
    <t>Ticket TKT-0007 created.</t>
  </si>
  <si>
    <t>TC-32</t>
  </si>
  <si>
    <t>Submit without category and priority</t>
  </si>
  <si>
    <t>1. New Ticket
2. Fill title + description only
3. Submit</t>
  </si>
  <si>
    <t>Category/Priority: not selected</t>
  </si>
  <si>
    <t>Errors: Select a valid category, Select a valid priority</t>
  </si>
  <si>
    <t>Select a valid category. | Select a valid priority.</t>
  </si>
  <si>
    <t>TC-33</t>
  </si>
  <si>
    <t>View Tickets</t>
  </si>
  <si>
    <t>Employee sees only their own tickets</t>
  </si>
  <si>
    <t>Use case / role</t>
  </si>
  <si>
    <t>Logged in as Swara (owns TKT-0002 only)</t>
  </si>
  <si>
    <t>1. Login as Swara
2. Open Tickets</t>
  </si>
  <si>
    <t>Only TKT-0002 is listed</t>
  </si>
  <si>
    <t>Listed: TKT-0002</t>
  </si>
  <si>
    <t>TC-34</t>
  </si>
  <si>
    <t>Employee opens another person's ticket by URL</t>
  </si>
  <si>
    <t>Security / negative</t>
  </si>
  <si>
    <t>Logged in as Swara</t>
  </si>
  <si>
    <t>1. Type /tickets/1 in the address bar</t>
  </si>
  <si>
    <t>URL: /tickets/1 (Noah's)</t>
  </si>
  <si>
    <t>403 - You don't have permission</t>
  </si>
  <si>
    <t>HTTP 403: 403 You don't have permission to do that. Go home</t>
  </si>
  <si>
    <t>TC-35</t>
  </si>
  <si>
    <t>Search</t>
  </si>
  <si>
    <t>Search tickets by keyword</t>
  </si>
  <si>
    <t>Logged in as admin</t>
  </si>
  <si>
    <t>1. Tickets page
2. Type keyword
3. Apply</t>
  </si>
  <si>
    <t>q = vpn</t>
  </si>
  <si>
    <t>1 ticket found: VPN keeps disconnecting</t>
  </si>
  <si>
    <t>1 found</t>
  </si>
  <si>
    <t>TC-36</t>
  </si>
  <si>
    <t>Search by ticket number</t>
  </si>
  <si>
    <t>1. Tickets page
2. Type ticket number
3. Apply</t>
  </si>
  <si>
    <t>q = TKT-0002</t>
  </si>
  <si>
    <t>Only TKT-0002 shown</t>
  </si>
  <si>
    <t>TC-37</t>
  </si>
  <si>
    <t>Filter</t>
  </si>
  <si>
    <t>Filter by Status = Open and Priority = High</t>
  </si>
  <si>
    <t>Decision table</t>
  </si>
  <si>
    <t>1. Tickets page
2. Choose Status Open, Priority High
3. Apply</t>
  </si>
  <si>
    <t>Status: Open, Priority: High</t>
  </si>
  <si>
    <t>Only Open + High tickets listed (TKT-0001, TKT-0004)</t>
  </si>
  <si>
    <t>Listed: TKT-0001, TKT-0004</t>
  </si>
  <si>
    <t>TC-38</t>
  </si>
  <si>
    <t>Search using special character %</t>
  </si>
  <si>
    <t>ECP (special characters)</t>
  </si>
  <si>
    <t>1. Tickets page
2. Type % in search
3. Apply</t>
  </si>
  <si>
    <t>q = %</t>
  </si>
  <si>
    <t>0 tickets found (no title contains %)</t>
  </si>
  <si>
    <t>7 ticket(s) found</t>
  </si>
  <si>
    <t>0 ticket(s) found</t>
  </si>
  <si>
    <t>BUG-01</t>
  </si>
  <si>
    <t>TC-39</t>
  </si>
  <si>
    <t>Search a number that appears only in a description</t>
  </si>
  <si>
    <t>ECP (numeric input)</t>
  </si>
  <si>
    <t>Ticket exists with 'error 404' in description</t>
  </si>
  <si>
    <t>1. Create ticket with 404 in description
2. Search 404</t>
  </si>
  <si>
    <t>Desc: Intranet page shows error 404; q = 404</t>
  </si>
  <si>
    <t>That ticket is found (1 result)</t>
  </si>
  <si>
    <t>1 ticket(s) found</t>
  </si>
  <si>
    <t>BUG-02</t>
  </si>
  <si>
    <t>TC-40</t>
  </si>
  <si>
    <t>Open a ticket that does not exist</t>
  </si>
  <si>
    <t>Negative</t>
  </si>
  <si>
    <t>1. Open /tickets/999</t>
  </si>
  <si>
    <t>URL: /tickets/999</t>
  </si>
  <si>
    <t>404 Page not found</t>
  </si>
  <si>
    <t>HTTP 404: 404 Page not found. Go home</t>
  </si>
  <si>
    <t>TC-41</t>
  </si>
  <si>
    <t>TNH-12</t>
  </si>
  <si>
    <t>Assign</t>
  </si>
  <si>
    <t>Admin assigns a ticket to an agent</t>
  </si>
  <si>
    <t>TKT-0004 Open and unassigned</t>
  </si>
  <si>
    <t>1. Login as admin
2. Open TKT-0004
3. Select Christopher
4. Click Assign</t>
  </si>
  <si>
    <t>Agent: Christopher</t>
  </si>
  <si>
    <t>Ticket assigned to Christopher, shown in Assigned to + Activity</t>
  </si>
  <si>
    <t>Ticket assigned to Christopher.; assignee=Christopher</t>
  </si>
  <si>
    <t>TC-42</t>
  </si>
  <si>
    <t>Agent cannot see the Assign option</t>
  </si>
  <si>
    <t>Role based</t>
  </si>
  <si>
    <t>Logged in as Christopher (agent)</t>
  </si>
  <si>
    <t>1. Open TKT-0004</t>
  </si>
  <si>
    <t>No 'Assign to agent' control</t>
  </si>
  <si>
    <t>Assign control not shown</t>
  </si>
  <si>
    <t>TC-43</t>
  </si>
  <si>
    <t>Update Status</t>
  </si>
  <si>
    <t>Start work on a ticket that has no agent</t>
  </si>
  <si>
    <t>TKT-0001 Open, unassigned; logged in as admin</t>
  </si>
  <si>
    <t>1. Open TKT-0001
2. Click Start work</t>
  </si>
  <si>
    <t>Error: Assign the ticket to an agent first</t>
  </si>
  <si>
    <t>Assign the ticket to an agent first.</t>
  </si>
  <si>
    <t>TC-44</t>
  </si>
  <si>
    <t>Assigned agent starts work</t>
  </si>
  <si>
    <t>State transition</t>
  </si>
  <si>
    <t>TKT-0004 assigned to Christopher</t>
  </si>
  <si>
    <t>1. Login as Christopher
2. Open TKT-0004
3. Click Start work</t>
  </si>
  <si>
    <t>Status changes Open -&gt; In Progress</t>
  </si>
  <si>
    <t>Ticket moved to In Progress.; status=In Progress</t>
  </si>
  <si>
    <t>TC-45</t>
  </si>
  <si>
    <t>Update Priority</t>
  </si>
  <si>
    <t>Agent changes priority</t>
  </si>
  <si>
    <t>Logged in as Christopher</t>
  </si>
  <si>
    <t>1. Open TKT-0004
2. Choose Critical
3. Update priority</t>
  </si>
  <si>
    <t>Priority: Critical</t>
  </si>
  <si>
    <t>Priority updated; activity shows High -&gt; Critical</t>
  </si>
  <si>
    <t>Priority updated.; priority=Critical</t>
  </si>
  <si>
    <t>TC-46</t>
  </si>
  <si>
    <t>Comments</t>
  </si>
  <si>
    <t>Add a comment on a ticket</t>
  </si>
  <si>
    <t>1. Open TKT-0004
2. Type comment
3. Post comment</t>
  </si>
  <si>
    <t>Comment: Checking the Outlook profile now</t>
  </si>
  <si>
    <t>Comment added and shown with name + role</t>
  </si>
  <si>
    <t>Comment added.</t>
  </si>
  <si>
    <t>TC-47</t>
  </si>
  <si>
    <t>Post an empty comment</t>
  </si>
  <si>
    <t>1. Open TKT-0004
2. Leave comment blank
3. Post</t>
  </si>
  <si>
    <t>Comment: (spaces only)</t>
  </si>
  <si>
    <t>Error: Comment cannot be empty</t>
  </si>
  <si>
    <t>Comment cannot be empty.</t>
  </si>
  <si>
    <t>TC-48</t>
  </si>
  <si>
    <t>TNH-13</t>
  </si>
  <si>
    <t>Resolve</t>
  </si>
  <si>
    <t>Resolve with a 9-character note (min - 1)</t>
  </si>
  <si>
    <t>TKT-0004 In Progress</t>
  </si>
  <si>
    <t>1. Login as Christopher
2. Open TKT-0004
3. Note: 9 chars
4. Mark resolved</t>
  </si>
  <si>
    <t>Note: Fixed it.</t>
  </si>
  <si>
    <t>Error: Resolution note must be at least 10 characters</t>
  </si>
  <si>
    <t>Resolution note must be at least 10 characters.</t>
  </si>
  <si>
    <t>TC-49</t>
  </si>
  <si>
    <t>Resolve with a valid note</t>
  </si>
  <si>
    <t>1. Open TKT-0004
2. Enter note
3. Mark resolved</t>
  </si>
  <si>
    <t>Note: Recreated the Outlook profile</t>
  </si>
  <si>
    <t>Status Resolved, note shown under Resolution</t>
  </si>
  <si>
    <t>Ticket moved to Resolved.; status=Resolved</t>
  </si>
  <si>
    <t>TC-50</t>
  </si>
  <si>
    <t>Reopen</t>
  </si>
  <si>
    <t>Employee reopens a resolved ticket</t>
  </si>
  <si>
    <t>TKT-0003 Resolved, raised by Noah</t>
  </si>
  <si>
    <t>1. Login as Noah
2. Open TKT-0003
3. Click Reopen ticket</t>
  </si>
  <si>
    <t>Status In Progress; old Resolution note no longer shown as the answer</t>
  </si>
  <si>
    <t>Ticket moved to In Progress.; status=In Progress; old resolution STILL shown</t>
  </si>
  <si>
    <t>Ticket moved to In Progress.; status=In Progress; old resolution hidden</t>
  </si>
  <si>
    <t>BUG-03</t>
  </si>
  <si>
    <t>TC-51</t>
  </si>
  <si>
    <t>Close</t>
  </si>
  <si>
    <t>Employee closes their resolved ticket</t>
  </si>
  <si>
    <t>TKT-0004 Resolved, raised by Noah</t>
  </si>
  <si>
    <t>1. Login as Noah
2. Open TKT-0004
3. Click Close ticket</t>
  </si>
  <si>
    <t>Status Closed; no status buttons or comment box remain</t>
  </si>
  <si>
    <t>Ticket moved to Closed.; status=Closed; controls left=0</t>
  </si>
  <si>
    <t>TC-52</t>
  </si>
  <si>
    <t>Employee cancels their own Open ticket</t>
  </si>
  <si>
    <t>TKT-0005 Open, raised by Noah</t>
  </si>
  <si>
    <t>1. Open TKT-0005
2. Click Cancel ticket</t>
  </si>
  <si>
    <t>Status Open -&gt; Closed</t>
  </si>
  <si>
    <t>Ticket moved to Closed.; status=Closed</t>
  </si>
  <si>
    <t>TC-53</t>
  </si>
  <si>
    <t>Agent tries to open a ticket assigned to someone else</t>
  </si>
  <si>
    <t>Security / role</t>
  </si>
  <si>
    <t>TKT-0002 assigned to Christopher</t>
  </si>
  <si>
    <t>1. Login as Emily
2. Open /tickets/2</t>
  </si>
  <si>
    <t>URL: /tickets/2</t>
  </si>
  <si>
    <t>HTTP 403</t>
  </si>
  <si>
    <t>Boundary Value Analysis (TNH-16)</t>
  </si>
  <si>
    <t>Field</t>
  </si>
  <si>
    <t>Rule</t>
  </si>
  <si>
    <t>Min</t>
  </si>
  <si>
    <t>Max</t>
  </si>
  <si>
    <t>Min - 1</t>
  </si>
  <si>
    <t>Min + 1</t>
  </si>
  <si>
    <t>Max - 1</t>
  </si>
  <si>
    <t>Max + 1</t>
  </si>
  <si>
    <t>Expected</t>
  </si>
  <si>
    <t>Covered by</t>
  </si>
  <si>
    <t>Name (register/profile)</t>
  </si>
  <si>
    <t>2 to 50 chars</t>
  </si>
  <si>
    <t>1 -&gt; reject</t>
  </si>
  <si>
    <t>2 -&gt; accept</t>
  </si>
  <si>
    <t>3 -&gt; accept</t>
  </si>
  <si>
    <t>49 -&gt; accept</t>
  </si>
  <si>
    <t>50 -&gt; accept</t>
  </si>
  <si>
    <t>51 -&gt; reject</t>
  </si>
  <si>
    <t>Only lengths 2..50 accepted</t>
  </si>
  <si>
    <t>TC-04, TC-05, test_name</t>
  </si>
  <si>
    <t>Password</t>
  </si>
  <si>
    <t>8 to 20 chars, 1 letter + 1 digit</t>
  </si>
  <si>
    <t>7 -&gt; reject</t>
  </si>
  <si>
    <t>8 -&gt; accept</t>
  </si>
  <si>
    <t>9 -&gt; accept</t>
  </si>
  <si>
    <t>19 -&gt; accept</t>
  </si>
  <si>
    <t>20 -&gt; accept</t>
  </si>
  <si>
    <t>21 -&gt; reject</t>
  </si>
  <si>
    <t>Only lengths 8..20 accepted</t>
  </si>
  <si>
    <t>TC-06..TC-09, test_password_length_boundaries</t>
  </si>
  <si>
    <t>Ticket title</t>
  </si>
  <si>
    <t>5 to 100 chars (trimmed)</t>
  </si>
  <si>
    <t>4 -&gt; reject</t>
  </si>
  <si>
    <t>5 -&gt; accept</t>
  </si>
  <si>
    <t>6 -&gt; accept</t>
  </si>
  <si>
    <t>99 -&gt; accept</t>
  </si>
  <si>
    <t>100 -&gt; accept</t>
  </si>
  <si>
    <t>101 -&gt; reject</t>
  </si>
  <si>
    <t>Only lengths 5..100 accepted</t>
  </si>
  <si>
    <t>TC-26..TC-29, test_title_boundaries</t>
  </si>
  <si>
    <t>Ticket description</t>
  </si>
  <si>
    <t>10 to 1000 chars</t>
  </si>
  <si>
    <t>9 -&gt; reject</t>
  </si>
  <si>
    <t>10 -&gt; accept</t>
  </si>
  <si>
    <t>11 -&gt; accept</t>
  </si>
  <si>
    <t>999 -&gt; accept</t>
  </si>
  <si>
    <t>1000 -&gt; accept</t>
  </si>
  <si>
    <t>1001 -&gt; reject</t>
  </si>
  <si>
    <t>Only lengths 10..1000 accepted</t>
  </si>
  <si>
    <t>TC-30, TC-31, test_description_boundaries</t>
  </si>
  <si>
    <t>Resolution note</t>
  </si>
  <si>
    <t>min 10 chars</t>
  </si>
  <si>
    <t>Below 10 rejected</t>
  </si>
  <si>
    <t>TC-48, TC-49, test_resolution_note</t>
  </si>
  <si>
    <t>Department</t>
  </si>
  <si>
    <t>max 50 chars (added in v1.1)</t>
  </si>
  <si>
    <t>0 -&gt; accept (optional)</t>
  </si>
  <si>
    <t>1 -&gt; accept</t>
  </si>
  <si>
    <t>Above 50 rejected</t>
  </si>
  <si>
    <t>TC-24, test_bug04_department_max_50</t>
  </si>
  <si>
    <t>Comment</t>
  </si>
  <si>
    <t>1 to 500 chars</t>
  </si>
  <si>
    <t>0 -&gt; reject</t>
  </si>
  <si>
    <t>499 -&gt; accept</t>
  </si>
  <si>
    <t>500 -&gt; accept</t>
  </si>
  <si>
    <t>501 -&gt; reject</t>
  </si>
  <si>
    <t>Only lengths 1..500 accepted</t>
  </si>
  <si>
    <t>TC-47, test_comment</t>
  </si>
  <si>
    <t>Equivalence Class Partitioning (TNH-16)</t>
  </si>
  <si>
    <t>Class ID</t>
  </si>
  <si>
    <t>Class</t>
  </si>
  <si>
    <t>Valid / Invalid</t>
  </si>
  <si>
    <t>Representative value</t>
  </si>
  <si>
    <t>Email</t>
  </si>
  <si>
    <t>E1</t>
  </si>
  <si>
    <t>Proper format user@domain.tld</t>
  </si>
  <si>
    <t>Valid</t>
  </si>
  <si>
    <t>noah@technova.com</t>
  </si>
  <si>
    <t>Accepted</t>
  </si>
  <si>
    <t>TC-01, test_email</t>
  </si>
  <si>
    <t>E2</t>
  </si>
  <si>
    <t>Missing @</t>
  </si>
  <si>
    <t>Invalid</t>
  </si>
  <si>
    <t>riyatechnova.com</t>
  </si>
  <si>
    <t>Enter a valid email address</t>
  </si>
  <si>
    <t>E3</t>
  </si>
  <si>
    <t>Missing domain extension</t>
  </si>
  <si>
    <t>noah@technova</t>
  </si>
  <si>
    <t>test_email</t>
  </si>
  <si>
    <t>E4</t>
  </si>
  <si>
    <t>Contains space</t>
  </si>
  <si>
    <t>noah @technova.com</t>
  </si>
  <si>
    <t>E5</t>
  </si>
  <si>
    <t>Empty</t>
  </si>
  <si>
    <t>Email is required</t>
  </si>
  <si>
    <t>E6</t>
  </si>
  <si>
    <t>Uppercase version of existing email</t>
  </si>
  <si>
    <t>NOAH@TECHNOVA.COM</t>
  </si>
  <si>
    <t>Treated same as lowercase</t>
  </si>
  <si>
    <t>P1</t>
  </si>
  <si>
    <t>8-20 chars with letter + digit</t>
  </si>
  <si>
    <t>abcdef12</t>
  </si>
  <si>
    <t>P2</t>
  </si>
  <si>
    <t>Digits only</t>
  </si>
  <si>
    <t>12345678</t>
  </si>
  <si>
    <t>Must contain a letter</t>
  </si>
  <si>
    <t>P3</t>
  </si>
  <si>
    <t>Letters only</t>
  </si>
  <si>
    <t>abcdefgh</t>
  </si>
  <si>
    <t>Must contain a number</t>
  </si>
  <si>
    <t>test_password_paths</t>
  </si>
  <si>
    <t>P4</t>
  </si>
  <si>
    <t>Too short / too long</t>
  </si>
  <si>
    <t>abc123 / 22 chars</t>
  </si>
  <si>
    <t>Length error</t>
  </si>
  <si>
    <t>TC-06, TC-09</t>
  </si>
  <si>
    <t>Name</t>
  </si>
  <si>
    <t>N1</t>
  </si>
  <si>
    <t>Letters, space . ' -</t>
  </si>
  <si>
    <t>O'Brien</t>
  </si>
  <si>
    <t>test_name</t>
  </si>
  <si>
    <t>N2</t>
  </si>
  <si>
    <t>Contains digits / symbols</t>
  </si>
  <si>
    <t>Tester99</t>
  </si>
  <si>
    <t>Name can only contain letters...</t>
  </si>
  <si>
    <t>Category</t>
  </si>
  <si>
    <t>C1</t>
  </si>
  <si>
    <t>One of 5 listed categories</t>
  </si>
  <si>
    <t>Software</t>
  </si>
  <si>
    <t>C2</t>
  </si>
  <si>
    <t>Not selected / not in list</t>
  </si>
  <si>
    <t>Select a valid category</t>
  </si>
  <si>
    <t>Priority</t>
  </si>
  <si>
    <t>R1</t>
  </si>
  <si>
    <t>Low / Medium / High / Critical</t>
  </si>
  <si>
    <t>High</t>
  </si>
  <si>
    <t>TC-25, TC-45</t>
  </si>
  <si>
    <t>R2</t>
  </si>
  <si>
    <t>Anything else</t>
  </si>
  <si>
    <t>Urgent</t>
  </si>
  <si>
    <t>Select a valid priority</t>
  </si>
  <si>
    <t>test_invalid_priority</t>
  </si>
  <si>
    <t>Search text</t>
  </si>
  <si>
    <t>S1</t>
  </si>
  <si>
    <t>Normal words</t>
  </si>
  <si>
    <t>vpn</t>
  </si>
  <si>
    <t>Matching tickets</t>
  </si>
  <si>
    <t>S2</t>
  </si>
  <si>
    <t>Ticket number</t>
  </si>
  <si>
    <t>TKT-0002</t>
  </si>
  <si>
    <t>That ticket</t>
  </si>
  <si>
    <t>S3</t>
  </si>
  <si>
    <t>Number inside description</t>
  </si>
  <si>
    <t>404</t>
  </si>
  <si>
    <t>Ticket with 404 in description</t>
  </si>
  <si>
    <t>TC-39 (BUG-02)</t>
  </si>
  <si>
    <t>S4</t>
  </si>
  <si>
    <t>Special characters % _</t>
  </si>
  <si>
    <t>%</t>
  </si>
  <si>
    <t>Treated as literal text</t>
  </si>
  <si>
    <t>TC-38 (BUG-01)</t>
  </si>
  <si>
    <t>User role</t>
  </si>
  <si>
    <t>U1</t>
  </si>
  <si>
    <t>Employee</t>
  </si>
  <si>
    <t>Sees own tickets only</t>
  </si>
  <si>
    <t>TC-33, TC-34</t>
  </si>
  <si>
    <t>U2</t>
  </si>
  <si>
    <t>Agent</t>
  </si>
  <si>
    <t>christopher@technova.com</t>
  </si>
  <si>
    <t>Sees assigned tickets, no Assign option</t>
  </si>
  <si>
    <t>TC-42, TC-53</t>
  </si>
  <si>
    <t>U3</t>
  </si>
  <si>
    <t>Admin</t>
  </si>
  <si>
    <t>admin@technova.com</t>
  </si>
  <si>
    <t>Sees all, can assign</t>
  </si>
  <si>
    <t>TC-35, TC-41</t>
  </si>
  <si>
    <t>White-Box Testing (TNH-17): Control Flow Graph, Cyclomatic Complexity, Basis Paths</t>
  </si>
  <si>
    <t>Function 1: validators.validate_password(password)</t>
  </si>
  <si>
    <t>N1: if not password:</t>
  </si>
  <si>
    <t>N2:     return 'Password is required.'</t>
  </si>
  <si>
    <t>N3: if len(password) &lt; 8:</t>
  </si>
  <si>
    <t>N4:     return 'at least 8 characters'</t>
  </si>
  <si>
    <t>N5: if len(password) &gt; 20:</t>
  </si>
  <si>
    <t>N6:     return 'at most 20 characters'</t>
  </si>
  <si>
    <t>N7: if no letter in password:</t>
  </si>
  <si>
    <t>N8:     return 'must contain a letter'</t>
  </si>
  <si>
    <t>N9: if no digit in password:</t>
  </si>
  <si>
    <t>N10:    return 'must contain a number'</t>
  </si>
  <si>
    <t>N11: return None   (valid)</t>
  </si>
  <si>
    <t>N12: exit</t>
  </si>
  <si>
    <t>Edges: 1-2, 1-3, 2-12, 3-4, 3-5, 4-12, 5-6, 5-7, 6-12, 7-8, 7-9, 8-12, 9-10, 9-11, 10-12, 11-12</t>
  </si>
  <si>
    <t>Nodes (N)</t>
  </si>
  <si>
    <t>Edges (E)</t>
  </si>
  <si>
    <t>Predicate nodes (P)</t>
  </si>
  <si>
    <t>V(G) = E - N + 2</t>
  </si>
  <si>
    <t>V(G) = P + 1</t>
  </si>
  <si>
    <t>Path</t>
  </si>
  <si>
    <t>Node sequence</t>
  </si>
  <si>
    <t>Input</t>
  </si>
  <si>
    <t>Expected output</t>
  </si>
  <si>
    <t>Actual output</t>
  </si>
  <si>
    <t>Status</t>
  </si>
  <si>
    <t>pytest test</t>
  </si>
  <si>
    <t>1-2-12</t>
  </si>
  <si>
    <t>'' (empty)</t>
  </si>
  <si>
    <t>Password is required.</t>
  </si>
  <si>
    <t>test_password_paths[-Password is required.]</t>
  </si>
  <si>
    <t>1-3-4-12</t>
  </si>
  <si>
    <t>abc123</t>
  </si>
  <si>
    <t>at least 8 characters</t>
  </si>
  <si>
    <t>test_password_paths[abc123-...]</t>
  </si>
  <si>
    <t>1-3-5-6-12</t>
  </si>
  <si>
    <t>a1a1a1a1a1a1a1a1a1a1a1 (22)</t>
  </si>
  <si>
    <t>at most 20 characters</t>
  </si>
  <si>
    <t>test_password_paths[a1a1...]</t>
  </si>
  <si>
    <t>1-3-5-7-8-12</t>
  </si>
  <si>
    <t>must contain a letter</t>
  </si>
  <si>
    <t>test_password_paths[12345678-...]</t>
  </si>
  <si>
    <t>P5</t>
  </si>
  <si>
    <t>1-3-5-7-9-10-12</t>
  </si>
  <si>
    <t>must contain a number</t>
  </si>
  <si>
    <t>test_password_paths[abcdefgh-...]</t>
  </si>
  <si>
    <t>P6</t>
  </si>
  <si>
    <t>1-3-5-7-9-11-12</t>
  </si>
  <si>
    <t>abcdefg1</t>
  </si>
  <si>
    <t>None (valid)</t>
  </si>
  <si>
    <t>test_password_paths[abcdefg1-None]</t>
  </si>
  <si>
    <t>Function 2: workflow.can_change_status(current, new, role, is_owner, is_assignee)</t>
  </si>
  <si>
    <t>N1:  who = TRANSITIONS.get((current, new)); if who is None:</t>
  </si>
  <si>
    <t>N2:      return False</t>
  </si>
  <si>
    <t>N3:  if role == 'admin':</t>
  </si>
  <si>
    <t>N4:      return True</t>
  </si>
  <si>
    <t>N5:  if who == 'staff':</t>
  </si>
  <si>
    <t>N6:      role == 'agent' ?  (first half of 'and')</t>
  </si>
  <si>
    <t>N7:      -&gt; no: return False</t>
  </si>
  <si>
    <t>N8:      -&gt; yes: return is_assignee</t>
  </si>
  <si>
    <t>N9:  return is_owner</t>
  </si>
  <si>
    <t>N10: exit</t>
  </si>
  <si>
    <t>Edges: 1-2, 1-3, 2-10, 3-4, 3-5, 4-10, 5-6, 5-9, 6-7, 6-8, 7-10, 8-10, 9-10</t>
  </si>
  <si>
    <t>1-2-10</t>
  </si>
  <si>
    <t>Open -&gt; Resolved (skip), admin</t>
  </si>
  <si>
    <t>False</t>
  </si>
  <si>
    <t>test_can_change_status[...P1...]</t>
  </si>
  <si>
    <t>1-3-4-10</t>
  </si>
  <si>
    <t>Open -&gt; In Progress, admin</t>
  </si>
  <si>
    <t>True</t>
  </si>
  <si>
    <t>test_can_change_status[...P2...]</t>
  </si>
  <si>
    <t>1-3-5-6-7-10</t>
  </si>
  <si>
    <t>In Progress -&gt; Resolved, employee</t>
  </si>
  <si>
    <t>test_can_change_status[...P3...]</t>
  </si>
  <si>
    <t>1-3-5-6-8-10</t>
  </si>
  <si>
    <t>Open -&gt; In Progress, agent, assigned</t>
  </si>
  <si>
    <t>test_can_change_status[...P4...]</t>
  </si>
  <si>
    <t>1-3-5-9-10</t>
  </si>
  <si>
    <t>Resolved -&gt; Closed, employee owner</t>
  </si>
  <si>
    <t>test_can_change_status[...P5...]</t>
  </si>
  <si>
    <t>Code coverage (pytest-cov, branch coverage on)</t>
  </si>
  <si>
    <t>File</t>
  </si>
  <si>
    <t>Statements</t>
  </si>
  <si>
    <t>Missed</t>
  </si>
  <si>
    <t>Branches</t>
  </si>
  <si>
    <t>Partial branches</t>
  </si>
  <si>
    <t>Coverage</t>
  </si>
  <si>
    <t>app.py</t>
  </si>
  <si>
    <t>96%</t>
  </si>
  <si>
    <t>db.py</t>
  </si>
  <si>
    <t>100%</t>
  </si>
  <si>
    <t>validators.py</t>
  </si>
  <si>
    <t>workflow.py</t>
  </si>
  <si>
    <t>97%</t>
  </si>
  <si>
    <t>Missed lines in app.py are mostly the 'already logged in' redirects and the local run block (app.run). Source: coverage_html/index.html</t>
  </si>
  <si>
    <t>Jira key (log as)</t>
  </si>
  <si>
    <t>Summary</t>
  </si>
  <si>
    <t>Story / Module</t>
  </si>
  <si>
    <t>Severity</t>
  </si>
  <si>
    <t>Steps to reproduce</t>
  </si>
  <si>
    <t>Actual</t>
  </si>
  <si>
    <t>Found by</t>
  </si>
  <si>
    <t>Found in</t>
  </si>
  <si>
    <t>Fix</t>
  </si>
  <si>
    <t>Fixed in</t>
  </si>
  <si>
    <t>Retest</t>
  </si>
  <si>
    <t>TNH-20 (Bug)</t>
  </si>
  <si>
    <t>Search with % or _ returns every ticket</t>
  </si>
  <si>
    <t>TNH-11 Search</t>
  </si>
  <si>
    <t>Low</t>
  </si>
  <si>
    <t>1. Login as admin
2. Tickets page
3. Type % in search
4. Apply</t>
  </si>
  <si>
    <t>0 tickets (no title has %)</t>
  </si>
  <si>
    <t>All 7 tickets listed</t>
  </si>
  <si>
    <t>Escaped % and _ in the LIKE pattern (ESCAPE '\')</t>
  </si>
  <si>
    <t>Closed</t>
  </si>
  <si>
    <t>Pass (TC-38, test_bug01)</t>
  </si>
  <si>
    <t>TNH-21 (Bug)</t>
  </si>
  <si>
    <t>Searching a number ignores the ticket description</t>
  </si>
  <si>
    <t>Medium</t>
  </si>
  <si>
    <t>1. Create ticket with 'error 404' in description
2. Search 404</t>
  </si>
  <si>
    <t>That ticket is found</t>
  </si>
  <si>
    <t>0 tickets found</t>
  </si>
  <si>
    <t>Numeric search now checks id OR title OR description</t>
  </si>
  <si>
    <t>Pass (TC-39, test_bug02)</t>
  </si>
  <si>
    <t>TNH-22 (Bug)</t>
  </si>
  <si>
    <t>Reopened ticket still shows the old resolution note</t>
  </si>
  <si>
    <t>1. Login as Noah
2. Open resolved TKT-0003
3. Click Reopen ticket</t>
  </si>
  <si>
    <t>Old fix is cleared while ticket is being worked on again</t>
  </si>
  <si>
    <t>Status In Progress but 'Resolution: Access granted by IT admin.' still shown</t>
  </si>
  <si>
    <t>Reopen sets resolution_note to NULL (history stays in Activity)</t>
  </si>
  <si>
    <t>Pass (TC-50, test_bug03)</t>
  </si>
  <si>
    <t>TNH-23 (Bug)</t>
  </si>
  <si>
    <t>Department field has no length limit</t>
  </si>
  <si>
    <t>TNH-7 Profile / TNH-5 Register</t>
  </si>
  <si>
    <t>1. Open Profile
2. Paste 5000 characters in Department
3. Save</t>
  </si>
  <si>
    <t>Profile updated, 5000 chars saved</t>
  </si>
  <si>
    <t>Added validate_department (max 50) on register + profile</t>
  </si>
  <si>
    <t>Pass (TC-24, test_bug04)</t>
  </si>
  <si>
    <t>Test</t>
  </si>
  <si>
    <t>Type</t>
  </si>
  <si>
    <t>Jira subtask</t>
  </si>
  <si>
    <t>Result</t>
  </si>
  <si>
    <t>tests/test_app.py</t>
  </si>
  <si>
    <t>TestRegisterLogin::test_register_then_login</t>
  </si>
  <si>
    <t>Integration</t>
  </si>
  <si>
    <t>TNH-18</t>
  </si>
  <si>
    <t>TestRegisterLogin::test_register_duplicate_email</t>
  </si>
  <si>
    <t>TestRegisterLogin::test_register_password_mismatch</t>
  </si>
  <si>
    <t>TestRegisterLogin::test_register_invalid_inputs</t>
  </si>
  <si>
    <t>TestRegisterLogin::test_login_wrong_password</t>
  </si>
  <si>
    <t>TestRegisterLogin::test_login_unknown_email</t>
  </si>
  <si>
    <t>TestRegisterLogin::test_login_empty_fields</t>
  </si>
  <si>
    <t>TestRegisterLogin::test_protected_page_redirects_to_login</t>
  </si>
  <si>
    <t>TestRegisterLogin::test_login_redirects_back_to_next</t>
  </si>
  <si>
    <t>TestRegisterLogin::test_login_ignores_external_next</t>
  </si>
  <si>
    <t>TestProfileLogout::test_logout_clears_session</t>
  </si>
  <si>
    <t>TestProfileLogout::test_update_profile</t>
  </si>
  <si>
    <t>TestProfileLogout::test_update_profile_invalid_name</t>
  </si>
  <si>
    <t>TestProfileLogout::test_change_password_flow</t>
  </si>
  <si>
    <t>TestProfileLogout::test_change_password_wrong_current</t>
  </si>
  <si>
    <t>TestProfileLogout::test_change_password_weak_or_mismatch</t>
  </si>
  <si>
    <t>TestCreateView::test_create_ticket</t>
  </si>
  <si>
    <t>TestCreateView::test_create_ticket_validation</t>
  </si>
  <si>
    <t>TestCreateView::test_employee_sees_only_own_tickets</t>
  </si>
  <si>
    <t>TestCreateView::test_agent_sees_only_assigned</t>
  </si>
  <si>
    <t>TestCreateView::test_admin_sees_all</t>
  </si>
  <si>
    <t>TestCreateView::test_search_and_filters</t>
  </si>
  <si>
    <t>TestCreateView::test_missing_ticket_404</t>
  </si>
  <si>
    <t>TestAssignUpdate::test_admin_assigns_ticket</t>
  </si>
  <si>
    <t>TestAssignUpdate::test_assign_to_non_agent_rejected</t>
  </si>
  <si>
    <t>TestAssignUpdate::test_employee_and_agent_cannot_assign</t>
  </si>
  <si>
    <t>TestAssignUpdate::test_cannot_assign_resolved_ticket</t>
  </si>
  <si>
    <t>TestAssignUpdate::test_start_work_needs_assignee</t>
  </si>
  <si>
    <t>TestAssignUpdate::test_agent_changes_priority</t>
  </si>
  <si>
    <t>TestAssignUpdate::test_invalid_priority</t>
  </si>
  <si>
    <t>TestAssignUpdate::test_employee_cannot_change_priority</t>
  </si>
  <si>
    <t>TestAssignUpdate::test_comment</t>
  </si>
  <si>
    <t>TestResolveClose::test_full_lifecycle</t>
  </si>
  <si>
    <t>TestResolveClose::test_resolve_needs_note</t>
  </si>
  <si>
    <t>TestResolveClose::test_other_agent_cannot_resolve</t>
  </si>
  <si>
    <t>TestResolveClose::test_owner_reopens_resolved</t>
  </si>
  <si>
    <t>TestResolveClose::test_owner_cancels_open</t>
  </si>
  <si>
    <t>TestResolveClose::test_skip_status_not_allowed</t>
  </si>
  <si>
    <t>TestResolveClose::test_dashboard_counts</t>
  </si>
  <si>
    <t>tests/test_bug_regression.py</t>
  </si>
  <si>
    <t>test_bug01_percent_and_underscore_are_literal</t>
  </si>
  <si>
    <t>Regression</t>
  </si>
  <si>
    <t>TNH-19</t>
  </si>
  <si>
    <t>test_bug02_number_search_includes_description</t>
  </si>
  <si>
    <t>test_bug03_reopen_clears_old_resolution</t>
  </si>
  <si>
    <t>test_bug04_department_max_50[49-True]</t>
  </si>
  <si>
    <t>test_bug04_department_max_50[50-True]</t>
  </si>
  <si>
    <t>test_bug04_department_max_50[51-False]</t>
  </si>
  <si>
    <t>test_bug04_department_max_50[5000-False]</t>
  </si>
  <si>
    <t>test_bug04_profile_rejects_long_department</t>
  </si>
  <si>
    <t>tests/test_validators.py</t>
  </si>
  <si>
    <t>Unit (white-box)</t>
  </si>
  <si>
    <t>TNH-17</t>
  </si>
  <si>
    <t>test_password_paths[None-Password is required.]</t>
  </si>
  <si>
    <t>test_password_paths[abc123-Password must be at least 8 characters.]</t>
  </si>
  <si>
    <t>test_password_paths[a1a1a1a1a1a1a1a1a1a1a1-Password must be at most 20 characters.]</t>
  </si>
  <si>
    <t>test_password_paths[12345678-Password must contain at least one letter.]</t>
  </si>
  <si>
    <t>test_password_paths[abcdefgh-Password must contain at least one number.]</t>
  </si>
  <si>
    <t>test_password_length_boundaries[7-False]</t>
  </si>
  <si>
    <t>test_password_length_boundaries[8-True]</t>
  </si>
  <si>
    <t>test_password_length_boundaries[9-True]</t>
  </si>
  <si>
    <t>test_password_length_boundaries[19-True]</t>
  </si>
  <si>
    <t>test_password_length_boundaries[20-True]</t>
  </si>
  <si>
    <t>test_password_length_boundaries[21-False]</t>
  </si>
  <si>
    <t>test_title_boundaries[4-False]</t>
  </si>
  <si>
    <t>test_title_boundaries[5-True]</t>
  </si>
  <si>
    <t>test_title_boundaries[6-True]</t>
  </si>
  <si>
    <t>test_title_boundaries[99-True]</t>
  </si>
  <si>
    <t>test_title_boundaries[100-True]</t>
  </si>
  <si>
    <t>test_title_boundaries[101-False]</t>
  </si>
  <si>
    <t>test_title_required_and_whitespace</t>
  </si>
  <si>
    <t>test_description_boundaries[9-False]</t>
  </si>
  <si>
    <t>test_description_boundaries[10-True]</t>
  </si>
  <si>
    <t>test_description_boundaries[11-True]</t>
  </si>
  <si>
    <t>test_description_boundaries[999-True]</t>
  </si>
  <si>
    <t>test_description_boundaries[1000-True]</t>
  </si>
  <si>
    <t>test_description_boundaries[1001-False]</t>
  </si>
  <si>
    <t>test_description_required</t>
  </si>
  <si>
    <t>test_name[A-False]</t>
  </si>
  <si>
    <t>test_name[Al-True]</t>
  </si>
  <si>
    <t>test_name[AAAAAAAAAAAAAAAAAAAAAAAAAAAAAAAAAAAAAAAAAAAAAAAAAA-True]</t>
  </si>
  <si>
    <t>test_name[AAAAAAAAAAAAAAAAAAAAAAAAAAAAAAAAAAAAAAAAAAAAAAAAAAA-False]</t>
  </si>
  <si>
    <t>test_name[Samrudhi Madankar-True]</t>
  </si>
  <si>
    <t>test_name[O'Brien-True]</t>
  </si>
  <si>
    <t>test_name[Mary-Jane-True]</t>
  </si>
  <si>
    <t>test_name[Sam123-False]</t>
  </si>
  <si>
    <t>test_name[Sam@-False]</t>
  </si>
  <si>
    <t>test_name[-False]</t>
  </si>
  <si>
    <t>test_name[   -False]</t>
  </si>
  <si>
    <t>test_name[None-False]</t>
  </si>
  <si>
    <t>test_email[noah@technova.com-True]</t>
  </si>
  <si>
    <t>test_email[first.last+it@mail.co.in-True]</t>
  </si>
  <si>
    <t>test_email[noahtechnova.com-False]</t>
  </si>
  <si>
    <t>test_email[noah@technova-False]</t>
  </si>
  <si>
    <t>test_email[@technova.com-False]</t>
  </si>
  <si>
    <t>test_email[noah@@technova.com-False]</t>
  </si>
  <si>
    <t>test_email[noah @technova.com-False]</t>
  </si>
  <si>
    <t>test_email[-False]</t>
  </si>
  <si>
    <t>test_email[None-False]</t>
  </si>
  <si>
    <t>test_choice</t>
  </si>
  <si>
    <t>test_resolution_note[None-False]</t>
  </si>
  <si>
    <t>test_resolution_note[-False]</t>
  </si>
  <si>
    <t>test_resolution_note[123456789-False]</t>
  </si>
  <si>
    <t>test_resolution_note[1234567890-True]</t>
  </si>
  <si>
    <t>test_resolution_note[   short   -False]</t>
  </si>
  <si>
    <t>test_validate_ticket_collects_all_errors</t>
  </si>
  <si>
    <t>tests/test_workflow.py</t>
  </si>
  <si>
    <t>test_can_change_status[Open-Resolved-admin-False-False-False-P1 1-2-10 transition not in table]</t>
  </si>
  <si>
    <t>test_can_change_status[Closed-Open-admin-True-True-False-P1 1-2-10 closed is final]</t>
  </si>
  <si>
    <t>test_can_change_status[Open-In Progress-admin-False-False-True-P2 1-3-4-10 admin]</t>
  </si>
  <si>
    <t>test_can_change_status[Open-In Progress-agent-False-True-True-P4 1-3-5-6-8-10 assigned agent]</t>
  </si>
  <si>
    <t>test_can_change_status[Open-In Progress-agent-False-False-False-P4 1-3-5-6-8-10 agent not assigned]</t>
  </si>
  <si>
    <t>test_can_change_status[In Progress-Resolved-employee-True-False-False-P3 1-3-5-6-7-10 employee on staff move]</t>
  </si>
  <si>
    <t>test_can_change_status[Resolved-Closed-employee-True-False-True-P5 1-3-5-9-10 owner closes]</t>
  </si>
  <si>
    <t>test_can_change_status[Resolved-Closed-agent-False-True-False-P5 1-3-5-9-10 non-owner agent]</t>
  </si>
  <si>
    <t>test_can_change_status[Resolved-In Progress-employee-True-False-True-P5 1-3-5-9-10 owner reopens]</t>
  </si>
  <si>
    <t>test_can_change_status[Open-Closed-employee-True-False-True-P5 1-3-5-9-10 owner cancels]</t>
  </si>
  <si>
    <t>test_can_change_status[Open-Closed-employee-False-False-False-P5 1-3-5-9-10 non-owner employee]</t>
  </si>
  <si>
    <t>test_allowed_next_statuses</t>
  </si>
  <si>
    <t>test_can_assign[admin-Open-True]</t>
  </si>
  <si>
    <t>test_can_assign[admin-In Progress-True]</t>
  </si>
  <si>
    <t>test_can_assign[admin-Resolved-False]</t>
  </si>
  <si>
    <t>test_can_assign[admin-Closed-False]</t>
  </si>
  <si>
    <t>test_can_assign[agent-Open-False]</t>
  </si>
  <si>
    <t>test_can_assign[employee-Open-False]</t>
  </si>
  <si>
    <t>SAMRUDHI MADANKAR</t>
  </si>
  <si>
    <t>25th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</si>
</sst>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66708A"/>
      <name val="Arial"/>
      <charset val="1"/>
    </font>
    <font>
      <b/>
      <sz val="10"/>
      <color rgb="FFFFFFFF"/>
      <name val="Arial"/>
      <charset val="1"/>
    </font>
    <font>
      <sz val="10"/>
      <name val="Consolas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D2433"/>
        <bgColor rgb="FF333300"/>
      </patternFill>
    </fill>
    <fill>
      <patternFill patternType="solid">
        <fgColor rgb="FFEEF0F5"/>
        <bgColor rgb="FFD9F2E3"/>
      </patternFill>
    </fill>
  </fills>
  <borders count="2">
    <border>
      <left/>
      <right/>
      <top/>
      <bottom/>
      <diagonal/>
    </border>
    <border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 applyAlignment="1">
      <alignment wrapText="1"/>
    </xf>
    <xf numFmtId="0" fontId="3" fillId="0" borderId="1" xfId="0" applyFont="1" applyBorder="1"/>
    <xf numFmtId="164" fontId="3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4" borderId="0" xfId="0" applyFont="1" applyFill="1"/>
    <xf numFmtId="0" fontId="7" fillId="0" borderId="0" xfId="0" applyFont="1"/>
  </cellXfs>
  <cellStyles count="1">
    <cellStyle name="Normal" xfId="0" builtinId="0"/>
  </cellStyles>
  <dxfs count="10">
    <dxf>
      <fill>
        <patternFill>
          <bgColor rgb="FFF8D7D3"/>
        </patternFill>
      </fill>
    </dxf>
    <dxf>
      <fill>
        <patternFill>
          <bgColor rgb="FFD9F2E3"/>
        </patternFill>
      </fill>
    </dxf>
    <dxf>
      <fill>
        <patternFill>
          <bgColor rgb="FFF8D7D3"/>
        </patternFill>
      </fill>
    </dxf>
    <dxf>
      <fill>
        <patternFill>
          <bgColor rgb="FFD9F2E3"/>
        </patternFill>
      </fill>
    </dxf>
    <dxf>
      <fill>
        <patternFill>
          <bgColor rgb="FFF8D7D3"/>
        </patternFill>
      </fill>
    </dxf>
    <dxf>
      <fill>
        <patternFill>
          <bgColor rgb="FFD9F2E3"/>
        </patternFill>
      </fill>
    </dxf>
    <dxf>
      <fill>
        <patternFill>
          <bgColor rgb="FFF8D7D3"/>
        </patternFill>
      </fill>
    </dxf>
    <dxf>
      <fill>
        <patternFill>
          <bgColor rgb="FFD9F2E3"/>
        </patternFill>
      </fill>
    </dxf>
    <dxf>
      <fill>
        <patternFill>
          <bgColor rgb="FFF8D7D3"/>
        </patternFill>
      </fill>
    </dxf>
    <dxf>
      <fill>
        <patternFill>
          <bgColor rgb="FFD9F2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0F5"/>
      <rgbColor rgb="FFCCFFFF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6670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4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zoomScale="110" zoomScaleNormal="110" workbookViewId="0">
      <selection activeCell="C10" sqref="C10"/>
    </sheetView>
  </sheetViews>
  <sheetFormatPr defaultColWidth="8.6640625" defaultRowHeight="14.4" x14ac:dyDescent="0.3"/>
  <cols>
    <col min="1" max="1" width="32" customWidth="1"/>
    <col min="2" max="2" width="22" customWidth="1"/>
    <col min="3" max="7" width="15" customWidth="1"/>
  </cols>
  <sheetData>
    <row r="1" spans="1:7" ht="17.399999999999999" x14ac:dyDescent="0.3">
      <c r="A1" s="1" t="s">
        <v>0</v>
      </c>
    </row>
    <row r="3" spans="1:7" x14ac:dyDescent="0.3">
      <c r="A3" s="2" t="s">
        <v>1</v>
      </c>
      <c r="B3" s="3" t="s">
        <v>2</v>
      </c>
    </row>
    <row r="4" spans="1:7" x14ac:dyDescent="0.3">
      <c r="A4" s="2" t="s">
        <v>3</v>
      </c>
      <c r="B4" s="3" t="s">
        <v>4</v>
      </c>
    </row>
    <row r="5" spans="1:7" x14ac:dyDescent="0.3">
      <c r="A5" s="2" t="s">
        <v>5</v>
      </c>
      <c r="B5" s="3" t="s">
        <v>6</v>
      </c>
    </row>
    <row r="6" spans="1:7" x14ac:dyDescent="0.3">
      <c r="A6" s="2" t="s">
        <v>7</v>
      </c>
      <c r="B6" s="3" t="s">
        <v>8</v>
      </c>
    </row>
    <row r="7" spans="1:7" x14ac:dyDescent="0.3">
      <c r="A7" s="2" t="s">
        <v>9</v>
      </c>
      <c r="B7" s="3" t="s">
        <v>10</v>
      </c>
    </row>
    <row r="8" spans="1:7" x14ac:dyDescent="0.3">
      <c r="A8" s="2" t="s">
        <v>11</v>
      </c>
      <c r="B8" s="3" t="s">
        <v>12</v>
      </c>
    </row>
    <row r="9" spans="1:7" x14ac:dyDescent="0.3">
      <c r="A9" s="2" t="s">
        <v>13</v>
      </c>
      <c r="B9" s="3" t="s">
        <v>14</v>
      </c>
    </row>
    <row r="10" spans="1:7" x14ac:dyDescent="0.3">
      <c r="A10" s="2" t="s">
        <v>15</v>
      </c>
      <c r="B10" s="4" t="s">
        <v>870</v>
      </c>
      <c r="C10" s="5"/>
    </row>
    <row r="11" spans="1:7" x14ac:dyDescent="0.3">
      <c r="A11" s="2" t="s">
        <v>16</v>
      </c>
      <c r="B11" s="4" t="s">
        <v>871</v>
      </c>
    </row>
    <row r="13" spans="1:7" x14ac:dyDescent="0.3">
      <c r="A13" s="2" t="s">
        <v>17</v>
      </c>
    </row>
    <row r="14" spans="1:7" ht="27" x14ac:dyDescent="0.3">
      <c r="A14" s="6" t="s">
        <v>18</v>
      </c>
      <c r="B14" s="6" t="s">
        <v>19</v>
      </c>
      <c r="C14" s="6" t="s">
        <v>20</v>
      </c>
      <c r="D14" s="6" t="s">
        <v>21</v>
      </c>
      <c r="E14" s="6" t="s">
        <v>22</v>
      </c>
      <c r="F14" s="6" t="s">
        <v>23</v>
      </c>
      <c r="G14" s="6" t="s">
        <v>24</v>
      </c>
    </row>
    <row r="15" spans="1:7" x14ac:dyDescent="0.3">
      <c r="A15" s="7" t="s">
        <v>25</v>
      </c>
      <c r="B15" s="7">
        <f>COUNTIF('Black-Box Test Cases'!$B:$B,"TNH-5")</f>
        <v>18</v>
      </c>
      <c r="C15" s="7">
        <f>COUNTIFS('Black-Box Test Cases'!$B:$B,"TNH-5",'Black-Box Test Cases'!$K:$K,"Pass")</f>
        <v>18</v>
      </c>
      <c r="D15" s="7">
        <f>COUNTIFS('Black-Box Test Cases'!$B:$B,"TNH-5",'Black-Box Test Cases'!$K:$K,"Fail")</f>
        <v>0</v>
      </c>
      <c r="E15" s="7">
        <f>COUNTIFS('Black-Box Test Cases'!$B:$B,"TNH-5",'Black-Box Test Cases'!$M:$M,"Pass")</f>
        <v>18</v>
      </c>
      <c r="F15" s="7">
        <f>COUNTIFS('Black-Box Test Cases'!$B:$B,"TNH-5",'Black-Box Test Cases'!$M:$M,"Fail")</f>
        <v>0</v>
      </c>
      <c r="G15" s="8">
        <f t="shared" ref="G15:G20" si="0">IF(B15=0,0,E15/B15)</f>
        <v>1</v>
      </c>
    </row>
    <row r="16" spans="1:7" x14ac:dyDescent="0.3">
      <c r="A16" s="7" t="s">
        <v>26</v>
      </c>
      <c r="B16" s="7">
        <f>COUNTIF('Black-Box Test Cases'!$B:$B,"TNH-7")</f>
        <v>6</v>
      </c>
      <c r="C16" s="7">
        <f>COUNTIFS('Black-Box Test Cases'!$B:$B,"TNH-7",'Black-Box Test Cases'!$K:$K,"Pass")</f>
        <v>5</v>
      </c>
      <c r="D16" s="7">
        <f>COUNTIFS('Black-Box Test Cases'!$B:$B,"TNH-7",'Black-Box Test Cases'!$K:$K,"Fail")</f>
        <v>1</v>
      </c>
      <c r="E16" s="7">
        <f>COUNTIFS('Black-Box Test Cases'!$B:$B,"TNH-7",'Black-Box Test Cases'!$M:$M,"Pass")</f>
        <v>6</v>
      </c>
      <c r="F16" s="7">
        <f>COUNTIFS('Black-Box Test Cases'!$B:$B,"TNH-7",'Black-Box Test Cases'!$M:$M,"Fail")</f>
        <v>0</v>
      </c>
      <c r="G16" s="8">
        <f t="shared" si="0"/>
        <v>1</v>
      </c>
    </row>
    <row r="17" spans="1:7" x14ac:dyDescent="0.3">
      <c r="A17" s="7" t="s">
        <v>27</v>
      </c>
      <c r="B17" s="7">
        <f>COUNTIF('Black-Box Test Cases'!$B:$B,"TNH-11")</f>
        <v>16</v>
      </c>
      <c r="C17" s="7">
        <f>COUNTIFS('Black-Box Test Cases'!$B:$B,"TNH-11",'Black-Box Test Cases'!$K:$K,"Pass")</f>
        <v>14</v>
      </c>
      <c r="D17" s="7">
        <f>COUNTIFS('Black-Box Test Cases'!$B:$B,"TNH-11",'Black-Box Test Cases'!$K:$K,"Fail")</f>
        <v>2</v>
      </c>
      <c r="E17" s="7">
        <f>COUNTIFS('Black-Box Test Cases'!$B:$B,"TNH-11",'Black-Box Test Cases'!$M:$M,"Pass")</f>
        <v>16</v>
      </c>
      <c r="F17" s="7">
        <f>COUNTIFS('Black-Box Test Cases'!$B:$B,"TNH-11",'Black-Box Test Cases'!$M:$M,"Fail")</f>
        <v>0</v>
      </c>
      <c r="G17" s="8">
        <f t="shared" si="0"/>
        <v>1</v>
      </c>
    </row>
    <row r="18" spans="1:7" x14ac:dyDescent="0.3">
      <c r="A18" s="7" t="s">
        <v>28</v>
      </c>
      <c r="B18" s="7">
        <f>COUNTIF('Black-Box Test Cases'!$B:$B,"TNH-12")</f>
        <v>7</v>
      </c>
      <c r="C18" s="7">
        <f>COUNTIFS('Black-Box Test Cases'!$B:$B,"TNH-12",'Black-Box Test Cases'!$K:$K,"Pass")</f>
        <v>7</v>
      </c>
      <c r="D18" s="7">
        <f>COUNTIFS('Black-Box Test Cases'!$B:$B,"TNH-12",'Black-Box Test Cases'!$K:$K,"Fail")</f>
        <v>0</v>
      </c>
      <c r="E18" s="7">
        <f>COUNTIFS('Black-Box Test Cases'!$B:$B,"TNH-12",'Black-Box Test Cases'!$M:$M,"Pass")</f>
        <v>7</v>
      </c>
      <c r="F18" s="7">
        <f>COUNTIFS('Black-Box Test Cases'!$B:$B,"TNH-12",'Black-Box Test Cases'!$M:$M,"Fail")</f>
        <v>0</v>
      </c>
      <c r="G18" s="8">
        <f t="shared" si="0"/>
        <v>1</v>
      </c>
    </row>
    <row r="19" spans="1:7" x14ac:dyDescent="0.3">
      <c r="A19" s="7" t="s">
        <v>29</v>
      </c>
      <c r="B19" s="7">
        <f>COUNTIF('Black-Box Test Cases'!$B:$B,"TNH-13")</f>
        <v>6</v>
      </c>
      <c r="C19" s="7">
        <f>COUNTIFS('Black-Box Test Cases'!$B:$B,"TNH-13",'Black-Box Test Cases'!$K:$K,"Pass")</f>
        <v>5</v>
      </c>
      <c r="D19" s="7">
        <f>COUNTIFS('Black-Box Test Cases'!$B:$B,"TNH-13",'Black-Box Test Cases'!$K:$K,"Fail")</f>
        <v>1</v>
      </c>
      <c r="E19" s="7">
        <f>COUNTIFS('Black-Box Test Cases'!$B:$B,"TNH-13",'Black-Box Test Cases'!$M:$M,"Pass")</f>
        <v>6</v>
      </c>
      <c r="F19" s="7">
        <f>COUNTIFS('Black-Box Test Cases'!$B:$B,"TNH-13",'Black-Box Test Cases'!$M:$M,"Fail")</f>
        <v>0</v>
      </c>
      <c r="G19" s="8">
        <f t="shared" si="0"/>
        <v>1</v>
      </c>
    </row>
    <row r="20" spans="1:7" x14ac:dyDescent="0.3">
      <c r="A20" s="9" t="s">
        <v>30</v>
      </c>
      <c r="B20" s="9">
        <f>SUM(B15:B19)</f>
        <v>53</v>
      </c>
      <c r="C20" s="9">
        <f>SUM(C15:C19)</f>
        <v>49</v>
      </c>
      <c r="D20" s="9">
        <f>SUM(D15:D19)</f>
        <v>4</v>
      </c>
      <c r="E20" s="9">
        <f>SUM(E15:E19)</f>
        <v>53</v>
      </c>
      <c r="F20" s="9">
        <f>SUM(F15:F19)</f>
        <v>0</v>
      </c>
      <c r="G20" s="10">
        <f t="shared" si="0"/>
        <v>1</v>
      </c>
    </row>
    <row r="23" spans="1:7" x14ac:dyDescent="0.3">
      <c r="A23" s="2" t="s">
        <v>31</v>
      </c>
    </row>
    <row r="24" spans="1:7" x14ac:dyDescent="0.3">
      <c r="A24" s="3" t="s">
        <v>32</v>
      </c>
      <c r="B24" s="3">
        <f>COUNTA('Automated Tests'!A:A)-1</f>
        <v>120</v>
      </c>
    </row>
    <row r="25" spans="1:7" x14ac:dyDescent="0.3">
      <c r="A25" s="3" t="s">
        <v>33</v>
      </c>
      <c r="B25" s="3">
        <f>COUNTIF('Automated Tests'!C:C,"Unit (white-box)")</f>
        <v>73</v>
      </c>
    </row>
    <row r="26" spans="1:7" x14ac:dyDescent="0.3">
      <c r="A26" s="3" t="s">
        <v>34</v>
      </c>
      <c r="B26" s="3">
        <f>COUNTIF('Automated Tests'!C:C,"Integration")</f>
        <v>39</v>
      </c>
    </row>
    <row r="27" spans="1:7" x14ac:dyDescent="0.3">
      <c r="A27" s="3" t="s">
        <v>35</v>
      </c>
      <c r="B27" s="3">
        <f>COUNTIF('Automated Tests'!C:C,"Regression")</f>
        <v>8</v>
      </c>
    </row>
    <row r="28" spans="1:7" x14ac:dyDescent="0.3">
      <c r="A28" s="3" t="s">
        <v>36</v>
      </c>
      <c r="B28" s="3">
        <f>COUNTIF('Automated Tests'!E:E,"Pass")</f>
        <v>120</v>
      </c>
    </row>
    <row r="29" spans="1:7" x14ac:dyDescent="0.3">
      <c r="A29" s="3" t="s">
        <v>37</v>
      </c>
      <c r="B29" s="3" t="s">
        <v>38</v>
      </c>
    </row>
    <row r="31" spans="1:7" x14ac:dyDescent="0.3">
      <c r="A31" s="2" t="s">
        <v>39</v>
      </c>
    </row>
    <row r="32" spans="1:7" x14ac:dyDescent="0.3">
      <c r="A32" s="3" t="s">
        <v>40</v>
      </c>
      <c r="B32" s="3">
        <f>COUNTA('Bug Report'!A:A)-1</f>
        <v>4</v>
      </c>
    </row>
    <row r="33" spans="1:2" x14ac:dyDescent="0.3">
      <c r="A33" s="3" t="s">
        <v>41</v>
      </c>
      <c r="B33" s="3">
        <f>COUNTIF('Bug Report'!N:N,"Closed")</f>
        <v>4</v>
      </c>
    </row>
    <row r="34" spans="1:2" x14ac:dyDescent="0.3">
      <c r="A34" s="3" t="s">
        <v>42</v>
      </c>
      <c r="B34" s="3">
        <f>COUNTIF('Bug Report'!E:E,"Medium")</f>
        <v>2</v>
      </c>
    </row>
    <row r="35" spans="1:2" x14ac:dyDescent="0.3">
      <c r="A35" s="3" t="s">
        <v>43</v>
      </c>
      <c r="B35" s="3">
        <f>COUNTIF('Bug Report'!E:E,"Low")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zoomScale="70" zoomScaleNormal="70" workbookViewId="0">
      <pane ySplit="1" topLeftCell="A49" activePane="bottomLeft" state="frozen"/>
      <selection pane="bottomLeft" activeCell="L65" sqref="L65"/>
    </sheetView>
  </sheetViews>
  <sheetFormatPr defaultColWidth="8.6640625" defaultRowHeight="14.4" x14ac:dyDescent="0.3"/>
  <cols>
    <col min="1" max="1" width="8" customWidth="1"/>
    <col min="2" max="2" width="9" customWidth="1"/>
    <col min="3" max="3" width="14" customWidth="1"/>
    <col min="4" max="4" width="30" customWidth="1"/>
    <col min="5" max="5" width="16" customWidth="1"/>
    <col min="6" max="6" width="22" customWidth="1"/>
    <col min="7" max="7" width="34" customWidth="1"/>
    <col min="8" max="8" width="26" customWidth="1"/>
    <col min="9" max="9" width="32" customWidth="1"/>
    <col min="10" max="10" width="34" customWidth="1"/>
    <col min="11" max="11" width="9" customWidth="1"/>
    <col min="12" max="12" width="30" customWidth="1"/>
    <col min="13" max="14" width="9" customWidth="1"/>
  </cols>
  <sheetData>
    <row r="1" spans="1:14" ht="26.4" x14ac:dyDescent="0.3">
      <c r="A1" s="11" t="s">
        <v>44</v>
      </c>
      <c r="B1" s="11" t="s">
        <v>45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</row>
    <row r="2" spans="1:14" ht="39.6" x14ac:dyDescent="0.3">
      <c r="A2" s="12" t="s">
        <v>58</v>
      </c>
      <c r="B2" s="12" t="s">
        <v>59</v>
      </c>
      <c r="C2" s="12" t="s">
        <v>60</v>
      </c>
      <c r="D2" s="12" t="s">
        <v>61</v>
      </c>
      <c r="E2" s="12" t="s">
        <v>62</v>
      </c>
      <c r="F2" s="12" t="s">
        <v>63</v>
      </c>
      <c r="G2" s="12" t="s">
        <v>64</v>
      </c>
      <c r="H2" s="12" t="s">
        <v>65</v>
      </c>
      <c r="I2" s="12" t="s">
        <v>66</v>
      </c>
      <c r="J2" s="12" t="s">
        <v>67</v>
      </c>
      <c r="K2" s="12" t="s">
        <v>68</v>
      </c>
      <c r="L2" s="12" t="s">
        <v>69</v>
      </c>
      <c r="M2" s="12" t="s">
        <v>68</v>
      </c>
      <c r="N2" s="12"/>
    </row>
    <row r="3" spans="1:14" ht="39.6" x14ac:dyDescent="0.3">
      <c r="A3" s="12" t="s">
        <v>70</v>
      </c>
      <c r="B3" s="12" t="s">
        <v>59</v>
      </c>
      <c r="C3" s="12" t="s">
        <v>60</v>
      </c>
      <c r="D3" s="12" t="s">
        <v>71</v>
      </c>
      <c r="E3" s="12" t="s">
        <v>72</v>
      </c>
      <c r="F3" s="12" t="s">
        <v>73</v>
      </c>
      <c r="G3" s="12" t="s">
        <v>74</v>
      </c>
      <c r="H3" s="12" t="s">
        <v>75</v>
      </c>
      <c r="I3" s="12" t="s">
        <v>76</v>
      </c>
      <c r="J3" s="12" t="s">
        <v>77</v>
      </c>
      <c r="K3" s="12" t="s">
        <v>68</v>
      </c>
      <c r="L3" s="12" t="s">
        <v>69</v>
      </c>
      <c r="M3" s="12" t="s">
        <v>68</v>
      </c>
      <c r="N3" s="12"/>
    </row>
    <row r="4" spans="1:14" ht="39.6" x14ac:dyDescent="0.3">
      <c r="A4" s="12" t="s">
        <v>78</v>
      </c>
      <c r="B4" s="12" t="s">
        <v>59</v>
      </c>
      <c r="C4" s="12" t="s">
        <v>60</v>
      </c>
      <c r="D4" s="12" t="s">
        <v>79</v>
      </c>
      <c r="E4" s="12" t="s">
        <v>72</v>
      </c>
      <c r="F4" s="12" t="s">
        <v>63</v>
      </c>
      <c r="G4" s="12" t="s">
        <v>80</v>
      </c>
      <c r="H4" s="12" t="s">
        <v>81</v>
      </c>
      <c r="I4" s="12" t="s">
        <v>82</v>
      </c>
      <c r="J4" s="12" t="s">
        <v>83</v>
      </c>
      <c r="K4" s="12" t="s">
        <v>68</v>
      </c>
      <c r="L4" s="12" t="s">
        <v>69</v>
      </c>
      <c r="M4" s="12" t="s">
        <v>68</v>
      </c>
      <c r="N4" s="12"/>
    </row>
    <row r="5" spans="1:14" ht="39.6" x14ac:dyDescent="0.3">
      <c r="A5" s="12" t="s">
        <v>84</v>
      </c>
      <c r="B5" s="12" t="s">
        <v>59</v>
      </c>
      <c r="C5" s="12" t="s">
        <v>60</v>
      </c>
      <c r="D5" s="12" t="s">
        <v>85</v>
      </c>
      <c r="E5" s="12" t="s">
        <v>86</v>
      </c>
      <c r="F5" s="12" t="s">
        <v>63</v>
      </c>
      <c r="G5" s="12" t="s">
        <v>87</v>
      </c>
      <c r="H5" s="12" t="s">
        <v>88</v>
      </c>
      <c r="I5" s="12" t="s">
        <v>89</v>
      </c>
      <c r="J5" s="12" t="s">
        <v>90</v>
      </c>
      <c r="K5" s="12" t="s">
        <v>68</v>
      </c>
      <c r="L5" s="12" t="s">
        <v>69</v>
      </c>
      <c r="M5" s="12" t="s">
        <v>68</v>
      </c>
      <c r="N5" s="12"/>
    </row>
    <row r="6" spans="1:14" ht="39.6" x14ac:dyDescent="0.3">
      <c r="A6" s="12" t="s">
        <v>91</v>
      </c>
      <c r="B6" s="12" t="s">
        <v>59</v>
      </c>
      <c r="C6" s="12" t="s">
        <v>60</v>
      </c>
      <c r="D6" s="12" t="s">
        <v>92</v>
      </c>
      <c r="E6" s="12" t="s">
        <v>86</v>
      </c>
      <c r="F6" s="12" t="s">
        <v>63</v>
      </c>
      <c r="G6" s="12" t="s">
        <v>93</v>
      </c>
      <c r="H6" s="12" t="s">
        <v>94</v>
      </c>
      <c r="I6" s="12" t="s">
        <v>95</v>
      </c>
      <c r="J6" s="12" t="s">
        <v>96</v>
      </c>
      <c r="K6" s="12" t="s">
        <v>68</v>
      </c>
      <c r="L6" s="12" t="s">
        <v>69</v>
      </c>
      <c r="M6" s="12" t="s">
        <v>68</v>
      </c>
      <c r="N6" s="12"/>
    </row>
    <row r="7" spans="1:14" ht="39.6" x14ac:dyDescent="0.3">
      <c r="A7" s="12" t="s">
        <v>97</v>
      </c>
      <c r="B7" s="12" t="s">
        <v>59</v>
      </c>
      <c r="C7" s="12" t="s">
        <v>60</v>
      </c>
      <c r="D7" s="12" t="s">
        <v>98</v>
      </c>
      <c r="E7" s="12" t="s">
        <v>86</v>
      </c>
      <c r="F7" s="12" t="s">
        <v>63</v>
      </c>
      <c r="G7" s="12" t="s">
        <v>99</v>
      </c>
      <c r="H7" s="12" t="s">
        <v>100</v>
      </c>
      <c r="I7" s="12" t="s">
        <v>101</v>
      </c>
      <c r="J7" s="12" t="s">
        <v>102</v>
      </c>
      <c r="K7" s="12" t="s">
        <v>68</v>
      </c>
      <c r="L7" s="12" t="s">
        <v>69</v>
      </c>
      <c r="M7" s="12" t="s">
        <v>68</v>
      </c>
      <c r="N7" s="12"/>
    </row>
    <row r="8" spans="1:14" ht="39.6" x14ac:dyDescent="0.3">
      <c r="A8" s="12" t="s">
        <v>103</v>
      </c>
      <c r="B8" s="12" t="s">
        <v>59</v>
      </c>
      <c r="C8" s="12" t="s">
        <v>60</v>
      </c>
      <c r="D8" s="12" t="s">
        <v>104</v>
      </c>
      <c r="E8" s="12" t="s">
        <v>86</v>
      </c>
      <c r="F8" s="12" t="s">
        <v>63</v>
      </c>
      <c r="G8" s="12" t="s">
        <v>105</v>
      </c>
      <c r="H8" s="12" t="s">
        <v>106</v>
      </c>
      <c r="I8" s="12" t="s">
        <v>95</v>
      </c>
      <c r="J8" s="12" t="s">
        <v>96</v>
      </c>
      <c r="K8" s="12" t="s">
        <v>68</v>
      </c>
      <c r="L8" s="12" t="s">
        <v>69</v>
      </c>
      <c r="M8" s="12" t="s">
        <v>68</v>
      </c>
      <c r="N8" s="12"/>
    </row>
    <row r="9" spans="1:14" ht="39.6" x14ac:dyDescent="0.3">
      <c r="A9" s="12" t="s">
        <v>107</v>
      </c>
      <c r="B9" s="12" t="s">
        <v>59</v>
      </c>
      <c r="C9" s="12" t="s">
        <v>60</v>
      </c>
      <c r="D9" s="12" t="s">
        <v>108</v>
      </c>
      <c r="E9" s="12" t="s">
        <v>86</v>
      </c>
      <c r="F9" s="12" t="s">
        <v>63</v>
      </c>
      <c r="G9" s="12" t="s">
        <v>109</v>
      </c>
      <c r="H9" s="12" t="s">
        <v>110</v>
      </c>
      <c r="I9" s="12" t="s">
        <v>95</v>
      </c>
      <c r="J9" s="12" t="s">
        <v>96</v>
      </c>
      <c r="K9" s="12" t="s">
        <v>68</v>
      </c>
      <c r="L9" s="12" t="s">
        <v>69</v>
      </c>
      <c r="M9" s="12" t="s">
        <v>68</v>
      </c>
      <c r="N9" s="12"/>
    </row>
    <row r="10" spans="1:14" ht="39.6" x14ac:dyDescent="0.3">
      <c r="A10" s="12" t="s">
        <v>111</v>
      </c>
      <c r="B10" s="12" t="s">
        <v>59</v>
      </c>
      <c r="C10" s="12" t="s">
        <v>60</v>
      </c>
      <c r="D10" s="12" t="s">
        <v>112</v>
      </c>
      <c r="E10" s="12" t="s">
        <v>86</v>
      </c>
      <c r="F10" s="12" t="s">
        <v>63</v>
      </c>
      <c r="G10" s="12" t="s">
        <v>113</v>
      </c>
      <c r="H10" s="12" t="s">
        <v>114</v>
      </c>
      <c r="I10" s="12" t="s">
        <v>115</v>
      </c>
      <c r="J10" s="12" t="s">
        <v>116</v>
      </c>
      <c r="K10" s="12" t="s">
        <v>68</v>
      </c>
      <c r="L10" s="12" t="s">
        <v>69</v>
      </c>
      <c r="M10" s="12" t="s">
        <v>68</v>
      </c>
      <c r="N10" s="12"/>
    </row>
    <row r="11" spans="1:14" ht="39.6" x14ac:dyDescent="0.3">
      <c r="A11" s="12" t="s">
        <v>117</v>
      </c>
      <c r="B11" s="12" t="s">
        <v>59</v>
      </c>
      <c r="C11" s="12" t="s">
        <v>60</v>
      </c>
      <c r="D11" s="12" t="s">
        <v>118</v>
      </c>
      <c r="E11" s="12" t="s">
        <v>72</v>
      </c>
      <c r="F11" s="12" t="s">
        <v>63</v>
      </c>
      <c r="G11" s="12" t="s">
        <v>119</v>
      </c>
      <c r="H11" s="12" t="s">
        <v>120</v>
      </c>
      <c r="I11" s="12" t="s">
        <v>121</v>
      </c>
      <c r="J11" s="12" t="s">
        <v>122</v>
      </c>
      <c r="K11" s="12" t="s">
        <v>68</v>
      </c>
      <c r="L11" s="12" t="s">
        <v>69</v>
      </c>
      <c r="M11" s="12" t="s">
        <v>68</v>
      </c>
      <c r="N11" s="12"/>
    </row>
    <row r="12" spans="1:14" ht="39.6" x14ac:dyDescent="0.3">
      <c r="A12" s="12" t="s">
        <v>123</v>
      </c>
      <c r="B12" s="12" t="s">
        <v>59</v>
      </c>
      <c r="C12" s="12" t="s">
        <v>60</v>
      </c>
      <c r="D12" s="12" t="s">
        <v>124</v>
      </c>
      <c r="E12" s="12" t="s">
        <v>72</v>
      </c>
      <c r="F12" s="12" t="s">
        <v>63</v>
      </c>
      <c r="G12" s="12" t="s">
        <v>125</v>
      </c>
      <c r="H12" s="12" t="s">
        <v>126</v>
      </c>
      <c r="I12" s="12" t="s">
        <v>127</v>
      </c>
      <c r="J12" s="12" t="s">
        <v>128</v>
      </c>
      <c r="K12" s="12" t="s">
        <v>68</v>
      </c>
      <c r="L12" s="12" t="s">
        <v>69</v>
      </c>
      <c r="M12" s="12" t="s">
        <v>68</v>
      </c>
      <c r="N12" s="12"/>
    </row>
    <row r="13" spans="1:14" ht="39.6" x14ac:dyDescent="0.3">
      <c r="A13" s="12" t="s">
        <v>129</v>
      </c>
      <c r="B13" s="12" t="s">
        <v>59</v>
      </c>
      <c r="C13" s="12" t="s">
        <v>60</v>
      </c>
      <c r="D13" s="12" t="s">
        <v>130</v>
      </c>
      <c r="E13" s="12" t="s">
        <v>72</v>
      </c>
      <c r="F13" s="12" t="s">
        <v>63</v>
      </c>
      <c r="G13" s="12" t="s">
        <v>131</v>
      </c>
      <c r="H13" s="12" t="s">
        <v>132</v>
      </c>
      <c r="I13" s="12" t="s">
        <v>133</v>
      </c>
      <c r="J13" s="12" t="s">
        <v>134</v>
      </c>
      <c r="K13" s="12" t="s">
        <v>68</v>
      </c>
      <c r="L13" s="12" t="s">
        <v>69</v>
      </c>
      <c r="M13" s="12" t="s">
        <v>68</v>
      </c>
      <c r="N13" s="12"/>
    </row>
    <row r="14" spans="1:14" ht="39.6" x14ac:dyDescent="0.3">
      <c r="A14" s="12" t="s">
        <v>135</v>
      </c>
      <c r="B14" s="12" t="s">
        <v>59</v>
      </c>
      <c r="C14" s="12" t="s">
        <v>136</v>
      </c>
      <c r="D14" s="12" t="s">
        <v>137</v>
      </c>
      <c r="E14" s="12" t="s">
        <v>62</v>
      </c>
      <c r="F14" s="12" t="s">
        <v>138</v>
      </c>
      <c r="G14" s="12" t="s">
        <v>139</v>
      </c>
      <c r="H14" s="12" t="s">
        <v>140</v>
      </c>
      <c r="I14" s="12" t="s">
        <v>141</v>
      </c>
      <c r="J14" s="12" t="s">
        <v>142</v>
      </c>
      <c r="K14" s="12" t="s">
        <v>68</v>
      </c>
      <c r="L14" s="12" t="s">
        <v>69</v>
      </c>
      <c r="M14" s="12" t="s">
        <v>68</v>
      </c>
      <c r="N14" s="12"/>
    </row>
    <row r="15" spans="1:14" ht="39.6" x14ac:dyDescent="0.3">
      <c r="A15" s="12" t="s">
        <v>143</v>
      </c>
      <c r="B15" s="12" t="s">
        <v>59</v>
      </c>
      <c r="C15" s="12" t="s">
        <v>136</v>
      </c>
      <c r="D15" s="12" t="s">
        <v>144</v>
      </c>
      <c r="E15" s="12" t="s">
        <v>72</v>
      </c>
      <c r="F15" s="12" t="s">
        <v>138</v>
      </c>
      <c r="G15" s="12" t="s">
        <v>145</v>
      </c>
      <c r="H15" s="12" t="s">
        <v>146</v>
      </c>
      <c r="I15" s="12" t="s">
        <v>147</v>
      </c>
      <c r="J15" s="12" t="s">
        <v>148</v>
      </c>
      <c r="K15" s="12" t="s">
        <v>68</v>
      </c>
      <c r="L15" s="12" t="s">
        <v>69</v>
      </c>
      <c r="M15" s="12" t="s">
        <v>68</v>
      </c>
      <c r="N15" s="12"/>
    </row>
    <row r="16" spans="1:14" ht="39.6" x14ac:dyDescent="0.3">
      <c r="A16" s="12" t="s">
        <v>149</v>
      </c>
      <c r="B16" s="12" t="s">
        <v>59</v>
      </c>
      <c r="C16" s="12" t="s">
        <v>136</v>
      </c>
      <c r="D16" s="12" t="s">
        <v>150</v>
      </c>
      <c r="E16" s="12" t="s">
        <v>72</v>
      </c>
      <c r="F16" s="12" t="s">
        <v>151</v>
      </c>
      <c r="G16" s="12" t="s">
        <v>152</v>
      </c>
      <c r="H16" s="12" t="s">
        <v>153</v>
      </c>
      <c r="I16" s="12" t="s">
        <v>147</v>
      </c>
      <c r="J16" s="12" t="s">
        <v>148</v>
      </c>
      <c r="K16" s="12" t="s">
        <v>68</v>
      </c>
      <c r="L16" s="12" t="s">
        <v>69</v>
      </c>
      <c r="M16" s="12" t="s">
        <v>68</v>
      </c>
      <c r="N16" s="12"/>
    </row>
    <row r="17" spans="1:14" ht="39.6" x14ac:dyDescent="0.3">
      <c r="A17" s="12" t="s">
        <v>154</v>
      </c>
      <c r="B17" s="12" t="s">
        <v>59</v>
      </c>
      <c r="C17" s="12" t="s">
        <v>136</v>
      </c>
      <c r="D17" s="12" t="s">
        <v>155</v>
      </c>
      <c r="E17" s="12" t="s">
        <v>72</v>
      </c>
      <c r="F17" s="12" t="s">
        <v>151</v>
      </c>
      <c r="G17" s="12" t="s">
        <v>156</v>
      </c>
      <c r="H17" s="12" t="s">
        <v>132</v>
      </c>
      <c r="I17" s="12" t="s">
        <v>157</v>
      </c>
      <c r="J17" s="12" t="s">
        <v>158</v>
      </c>
      <c r="K17" s="12" t="s">
        <v>68</v>
      </c>
      <c r="L17" s="12" t="s">
        <v>69</v>
      </c>
      <c r="M17" s="12" t="s">
        <v>68</v>
      </c>
      <c r="N17" s="12"/>
    </row>
    <row r="18" spans="1:14" ht="39.6" x14ac:dyDescent="0.3">
      <c r="A18" s="12" t="s">
        <v>159</v>
      </c>
      <c r="B18" s="12" t="s">
        <v>59</v>
      </c>
      <c r="C18" s="12" t="s">
        <v>136</v>
      </c>
      <c r="D18" s="12" t="s">
        <v>160</v>
      </c>
      <c r="E18" s="12" t="s">
        <v>62</v>
      </c>
      <c r="F18" s="12" t="s">
        <v>161</v>
      </c>
      <c r="G18" s="12" t="s">
        <v>162</v>
      </c>
      <c r="H18" s="12" t="s">
        <v>163</v>
      </c>
      <c r="I18" s="12" t="s">
        <v>164</v>
      </c>
      <c r="J18" s="12" t="s">
        <v>165</v>
      </c>
      <c r="K18" s="12" t="s">
        <v>68</v>
      </c>
      <c r="L18" s="12" t="s">
        <v>69</v>
      </c>
      <c r="M18" s="12" t="s">
        <v>68</v>
      </c>
      <c r="N18" s="12"/>
    </row>
    <row r="19" spans="1:14" ht="26.4" x14ac:dyDescent="0.3">
      <c r="A19" s="12" t="s">
        <v>166</v>
      </c>
      <c r="B19" s="12" t="s">
        <v>59</v>
      </c>
      <c r="C19" s="12" t="s">
        <v>136</v>
      </c>
      <c r="D19" s="12" t="s">
        <v>167</v>
      </c>
      <c r="E19" s="12" t="s">
        <v>168</v>
      </c>
      <c r="F19" s="12" t="s">
        <v>63</v>
      </c>
      <c r="G19" s="12" t="s">
        <v>169</v>
      </c>
      <c r="H19" s="12" t="s">
        <v>170</v>
      </c>
      <c r="I19" s="12" t="s">
        <v>171</v>
      </c>
      <c r="J19" s="12" t="s">
        <v>172</v>
      </c>
      <c r="K19" s="12" t="s">
        <v>68</v>
      </c>
      <c r="L19" s="12" t="s">
        <v>69</v>
      </c>
      <c r="M19" s="12" t="s">
        <v>68</v>
      </c>
      <c r="N19" s="12"/>
    </row>
    <row r="20" spans="1:14" ht="39.6" x14ac:dyDescent="0.3">
      <c r="A20" s="12" t="s">
        <v>173</v>
      </c>
      <c r="B20" s="12" t="s">
        <v>174</v>
      </c>
      <c r="C20" s="12" t="s">
        <v>175</v>
      </c>
      <c r="D20" s="12" t="s">
        <v>176</v>
      </c>
      <c r="E20" s="12" t="s">
        <v>62</v>
      </c>
      <c r="F20" s="12" t="s">
        <v>177</v>
      </c>
      <c r="G20" s="12" t="s">
        <v>178</v>
      </c>
      <c r="H20" s="12" t="s">
        <v>179</v>
      </c>
      <c r="I20" s="12" t="s">
        <v>180</v>
      </c>
      <c r="J20" s="12" t="s">
        <v>181</v>
      </c>
      <c r="K20" s="12" t="s">
        <v>68</v>
      </c>
      <c r="L20" s="12" t="s">
        <v>69</v>
      </c>
      <c r="M20" s="12" t="s">
        <v>68</v>
      </c>
      <c r="N20" s="12"/>
    </row>
    <row r="21" spans="1:14" ht="39.6" x14ac:dyDescent="0.3">
      <c r="A21" s="12" t="s">
        <v>182</v>
      </c>
      <c r="B21" s="12" t="s">
        <v>174</v>
      </c>
      <c r="C21" s="12" t="s">
        <v>175</v>
      </c>
      <c r="D21" s="12" t="s">
        <v>183</v>
      </c>
      <c r="E21" s="12" t="s">
        <v>72</v>
      </c>
      <c r="F21" s="12" t="s">
        <v>184</v>
      </c>
      <c r="G21" s="12" t="s">
        <v>185</v>
      </c>
      <c r="H21" s="12" t="s">
        <v>186</v>
      </c>
      <c r="I21" s="12" t="s">
        <v>187</v>
      </c>
      <c r="J21" s="12" t="s">
        <v>188</v>
      </c>
      <c r="K21" s="12" t="s">
        <v>68</v>
      </c>
      <c r="L21" s="12" t="s">
        <v>69</v>
      </c>
      <c r="M21" s="12" t="s">
        <v>68</v>
      </c>
      <c r="N21" s="12"/>
    </row>
    <row r="22" spans="1:14" ht="39.6" x14ac:dyDescent="0.3">
      <c r="A22" s="12" t="s">
        <v>189</v>
      </c>
      <c r="B22" s="12" t="s">
        <v>174</v>
      </c>
      <c r="C22" s="12" t="s">
        <v>175</v>
      </c>
      <c r="D22" s="12" t="s">
        <v>190</v>
      </c>
      <c r="E22" s="12" t="s">
        <v>72</v>
      </c>
      <c r="F22" s="12" t="s">
        <v>184</v>
      </c>
      <c r="G22" s="12" t="s">
        <v>191</v>
      </c>
      <c r="H22" s="12" t="s">
        <v>192</v>
      </c>
      <c r="I22" s="12" t="s">
        <v>193</v>
      </c>
      <c r="J22" s="12" t="s">
        <v>194</v>
      </c>
      <c r="K22" s="12" t="s">
        <v>68</v>
      </c>
      <c r="L22" s="12" t="s">
        <v>69</v>
      </c>
      <c r="M22" s="12" t="s">
        <v>68</v>
      </c>
      <c r="N22" s="12"/>
    </row>
    <row r="23" spans="1:14" ht="52.8" x14ac:dyDescent="0.3">
      <c r="A23" s="12" t="s">
        <v>195</v>
      </c>
      <c r="B23" s="12" t="s">
        <v>174</v>
      </c>
      <c r="C23" s="12" t="s">
        <v>175</v>
      </c>
      <c r="D23" s="12" t="s">
        <v>196</v>
      </c>
      <c r="E23" s="12" t="s">
        <v>197</v>
      </c>
      <c r="F23" s="12" t="s">
        <v>184</v>
      </c>
      <c r="G23" s="12" t="s">
        <v>198</v>
      </c>
      <c r="H23" s="12" t="s">
        <v>199</v>
      </c>
      <c r="I23" s="12" t="s">
        <v>200</v>
      </c>
      <c r="J23" s="12" t="s">
        <v>201</v>
      </c>
      <c r="K23" s="12" t="s">
        <v>68</v>
      </c>
      <c r="L23" s="12" t="s">
        <v>69</v>
      </c>
      <c r="M23" s="12" t="s">
        <v>68</v>
      </c>
      <c r="N23" s="12"/>
    </row>
    <row r="24" spans="1:14" ht="26.4" x14ac:dyDescent="0.3">
      <c r="A24" s="12" t="s">
        <v>202</v>
      </c>
      <c r="B24" s="12" t="s">
        <v>174</v>
      </c>
      <c r="C24" s="12" t="s">
        <v>203</v>
      </c>
      <c r="D24" s="12" t="s">
        <v>204</v>
      </c>
      <c r="E24" s="12" t="s">
        <v>168</v>
      </c>
      <c r="F24" s="12" t="s">
        <v>184</v>
      </c>
      <c r="G24" s="12" t="s">
        <v>205</v>
      </c>
      <c r="H24" s="12" t="s">
        <v>151</v>
      </c>
      <c r="I24" s="12" t="s">
        <v>206</v>
      </c>
      <c r="J24" s="12" t="s">
        <v>207</v>
      </c>
      <c r="K24" s="12" t="s">
        <v>68</v>
      </c>
      <c r="L24" s="12" t="s">
        <v>69</v>
      </c>
      <c r="M24" s="12" t="s">
        <v>68</v>
      </c>
      <c r="N24" s="12"/>
    </row>
    <row r="25" spans="1:14" ht="39.6" x14ac:dyDescent="0.3">
      <c r="A25" s="12" t="s">
        <v>208</v>
      </c>
      <c r="B25" s="12" t="s">
        <v>174</v>
      </c>
      <c r="C25" s="12" t="s">
        <v>175</v>
      </c>
      <c r="D25" s="12" t="s">
        <v>209</v>
      </c>
      <c r="E25" s="12" t="s">
        <v>210</v>
      </c>
      <c r="F25" s="12" t="s">
        <v>184</v>
      </c>
      <c r="G25" s="12" t="s">
        <v>211</v>
      </c>
      <c r="H25" s="12" t="s">
        <v>212</v>
      </c>
      <c r="I25" s="12" t="s">
        <v>213</v>
      </c>
      <c r="J25" s="12" t="s">
        <v>181</v>
      </c>
      <c r="K25" s="12" t="s">
        <v>214</v>
      </c>
      <c r="L25" s="12" t="s">
        <v>215</v>
      </c>
      <c r="M25" s="12" t="s">
        <v>68</v>
      </c>
      <c r="N25" s="12" t="s">
        <v>216</v>
      </c>
    </row>
    <row r="26" spans="1:14" ht="39.6" x14ac:dyDescent="0.3">
      <c r="A26" s="12" t="s">
        <v>217</v>
      </c>
      <c r="B26" s="12" t="s">
        <v>218</v>
      </c>
      <c r="C26" s="12" t="s">
        <v>219</v>
      </c>
      <c r="D26" s="12" t="s">
        <v>220</v>
      </c>
      <c r="E26" s="12" t="s">
        <v>62</v>
      </c>
      <c r="F26" s="12" t="s">
        <v>221</v>
      </c>
      <c r="G26" s="12" t="s">
        <v>222</v>
      </c>
      <c r="H26" s="12" t="s">
        <v>223</v>
      </c>
      <c r="I26" s="12" t="s">
        <v>224</v>
      </c>
      <c r="J26" s="12" t="s">
        <v>225</v>
      </c>
      <c r="K26" s="12" t="s">
        <v>68</v>
      </c>
      <c r="L26" s="12" t="s">
        <v>69</v>
      </c>
      <c r="M26" s="12" t="s">
        <v>68</v>
      </c>
      <c r="N26" s="12"/>
    </row>
    <row r="27" spans="1:14" ht="39.6" x14ac:dyDescent="0.3">
      <c r="A27" s="12" t="s">
        <v>226</v>
      </c>
      <c r="B27" s="12" t="s">
        <v>218</v>
      </c>
      <c r="C27" s="12" t="s">
        <v>219</v>
      </c>
      <c r="D27" s="12" t="s">
        <v>227</v>
      </c>
      <c r="E27" s="12" t="s">
        <v>86</v>
      </c>
      <c r="F27" s="12" t="s">
        <v>184</v>
      </c>
      <c r="G27" s="12" t="s">
        <v>228</v>
      </c>
      <c r="H27" s="12" t="s">
        <v>229</v>
      </c>
      <c r="I27" s="12" t="s">
        <v>230</v>
      </c>
      <c r="J27" s="12" t="s">
        <v>231</v>
      </c>
      <c r="K27" s="12" t="s">
        <v>68</v>
      </c>
      <c r="L27" s="12" t="s">
        <v>69</v>
      </c>
      <c r="M27" s="12" t="s">
        <v>68</v>
      </c>
      <c r="N27" s="12"/>
    </row>
    <row r="28" spans="1:14" ht="39.6" x14ac:dyDescent="0.3">
      <c r="A28" s="12" t="s">
        <v>232</v>
      </c>
      <c r="B28" s="12" t="s">
        <v>218</v>
      </c>
      <c r="C28" s="12" t="s">
        <v>219</v>
      </c>
      <c r="D28" s="12" t="s">
        <v>233</v>
      </c>
      <c r="E28" s="12" t="s">
        <v>86</v>
      </c>
      <c r="F28" s="12" t="s">
        <v>184</v>
      </c>
      <c r="G28" s="12" t="s">
        <v>234</v>
      </c>
      <c r="H28" s="12" t="s">
        <v>235</v>
      </c>
      <c r="I28" s="12" t="s">
        <v>236</v>
      </c>
      <c r="J28" s="12" t="s">
        <v>237</v>
      </c>
      <c r="K28" s="12" t="s">
        <v>68</v>
      </c>
      <c r="L28" s="12" t="s">
        <v>69</v>
      </c>
      <c r="M28" s="12" t="s">
        <v>68</v>
      </c>
      <c r="N28" s="12"/>
    </row>
    <row r="29" spans="1:14" ht="39.6" x14ac:dyDescent="0.3">
      <c r="A29" s="12" t="s">
        <v>238</v>
      </c>
      <c r="B29" s="12" t="s">
        <v>218</v>
      </c>
      <c r="C29" s="12" t="s">
        <v>219</v>
      </c>
      <c r="D29" s="12" t="s">
        <v>239</v>
      </c>
      <c r="E29" s="12" t="s">
        <v>86</v>
      </c>
      <c r="F29" s="12" t="s">
        <v>184</v>
      </c>
      <c r="G29" s="12" t="s">
        <v>240</v>
      </c>
      <c r="H29" s="12" t="s">
        <v>241</v>
      </c>
      <c r="I29" s="12" t="s">
        <v>236</v>
      </c>
      <c r="J29" s="12" t="s">
        <v>242</v>
      </c>
      <c r="K29" s="12" t="s">
        <v>68</v>
      </c>
      <c r="L29" s="12" t="s">
        <v>69</v>
      </c>
      <c r="M29" s="12" t="s">
        <v>68</v>
      </c>
      <c r="N29" s="12"/>
    </row>
    <row r="30" spans="1:14" ht="39.6" x14ac:dyDescent="0.3">
      <c r="A30" s="12" t="s">
        <v>243</v>
      </c>
      <c r="B30" s="12" t="s">
        <v>218</v>
      </c>
      <c r="C30" s="12" t="s">
        <v>219</v>
      </c>
      <c r="D30" s="12" t="s">
        <v>244</v>
      </c>
      <c r="E30" s="12" t="s">
        <v>86</v>
      </c>
      <c r="F30" s="12" t="s">
        <v>184</v>
      </c>
      <c r="G30" s="12" t="s">
        <v>245</v>
      </c>
      <c r="H30" s="12" t="s">
        <v>246</v>
      </c>
      <c r="I30" s="12" t="s">
        <v>247</v>
      </c>
      <c r="J30" s="12" t="s">
        <v>248</v>
      </c>
      <c r="K30" s="12" t="s">
        <v>68</v>
      </c>
      <c r="L30" s="12" t="s">
        <v>69</v>
      </c>
      <c r="M30" s="12" t="s">
        <v>68</v>
      </c>
      <c r="N30" s="12"/>
    </row>
    <row r="31" spans="1:14" ht="39.6" x14ac:dyDescent="0.3">
      <c r="A31" s="12" t="s">
        <v>249</v>
      </c>
      <c r="B31" s="12" t="s">
        <v>218</v>
      </c>
      <c r="C31" s="12" t="s">
        <v>219</v>
      </c>
      <c r="D31" s="12" t="s">
        <v>250</v>
      </c>
      <c r="E31" s="12" t="s">
        <v>86</v>
      </c>
      <c r="F31" s="12" t="s">
        <v>184</v>
      </c>
      <c r="G31" s="12" t="s">
        <v>251</v>
      </c>
      <c r="H31" s="12" t="s">
        <v>252</v>
      </c>
      <c r="I31" s="12" t="s">
        <v>253</v>
      </c>
      <c r="J31" s="12" t="s">
        <v>254</v>
      </c>
      <c r="K31" s="12" t="s">
        <v>68</v>
      </c>
      <c r="L31" s="12" t="s">
        <v>69</v>
      </c>
      <c r="M31" s="12" t="s">
        <v>68</v>
      </c>
      <c r="N31" s="12"/>
    </row>
    <row r="32" spans="1:14" ht="39.6" x14ac:dyDescent="0.3">
      <c r="A32" s="12" t="s">
        <v>255</v>
      </c>
      <c r="B32" s="12" t="s">
        <v>218</v>
      </c>
      <c r="C32" s="12" t="s">
        <v>219</v>
      </c>
      <c r="D32" s="12" t="s">
        <v>256</v>
      </c>
      <c r="E32" s="12" t="s">
        <v>86</v>
      </c>
      <c r="F32" s="12" t="s">
        <v>184</v>
      </c>
      <c r="G32" s="12" t="s">
        <v>257</v>
      </c>
      <c r="H32" s="12" t="s">
        <v>258</v>
      </c>
      <c r="I32" s="12" t="s">
        <v>236</v>
      </c>
      <c r="J32" s="12" t="s">
        <v>259</v>
      </c>
      <c r="K32" s="12" t="s">
        <v>68</v>
      </c>
      <c r="L32" s="12" t="s">
        <v>69</v>
      </c>
      <c r="M32" s="12" t="s">
        <v>68</v>
      </c>
      <c r="N32" s="12"/>
    </row>
    <row r="33" spans="1:14" ht="39.6" x14ac:dyDescent="0.3">
      <c r="A33" s="12" t="s">
        <v>260</v>
      </c>
      <c r="B33" s="12" t="s">
        <v>218</v>
      </c>
      <c r="C33" s="12" t="s">
        <v>219</v>
      </c>
      <c r="D33" s="12" t="s">
        <v>261</v>
      </c>
      <c r="E33" s="12" t="s">
        <v>72</v>
      </c>
      <c r="F33" s="12" t="s">
        <v>184</v>
      </c>
      <c r="G33" s="12" t="s">
        <v>262</v>
      </c>
      <c r="H33" s="12" t="s">
        <v>263</v>
      </c>
      <c r="I33" s="12" t="s">
        <v>264</v>
      </c>
      <c r="J33" s="12" t="s">
        <v>265</v>
      </c>
      <c r="K33" s="12" t="s">
        <v>68</v>
      </c>
      <c r="L33" s="12" t="s">
        <v>69</v>
      </c>
      <c r="M33" s="12" t="s">
        <v>68</v>
      </c>
      <c r="N33" s="12"/>
    </row>
    <row r="34" spans="1:14" ht="26.4" x14ac:dyDescent="0.3">
      <c r="A34" s="12" t="s">
        <v>266</v>
      </c>
      <c r="B34" s="12" t="s">
        <v>218</v>
      </c>
      <c r="C34" s="12" t="s">
        <v>267</v>
      </c>
      <c r="D34" s="12" t="s">
        <v>268</v>
      </c>
      <c r="E34" s="12" t="s">
        <v>269</v>
      </c>
      <c r="F34" s="12" t="s">
        <v>270</v>
      </c>
      <c r="G34" s="12" t="s">
        <v>271</v>
      </c>
      <c r="H34" s="12" t="s">
        <v>151</v>
      </c>
      <c r="I34" s="12" t="s">
        <v>272</v>
      </c>
      <c r="J34" s="12" t="s">
        <v>273</v>
      </c>
      <c r="K34" s="12" t="s">
        <v>68</v>
      </c>
      <c r="L34" s="12" t="s">
        <v>69</v>
      </c>
      <c r="M34" s="12" t="s">
        <v>68</v>
      </c>
      <c r="N34" s="12"/>
    </row>
    <row r="35" spans="1:14" ht="26.4" x14ac:dyDescent="0.3">
      <c r="A35" s="12" t="s">
        <v>274</v>
      </c>
      <c r="B35" s="12" t="s">
        <v>218</v>
      </c>
      <c r="C35" s="12" t="s">
        <v>267</v>
      </c>
      <c r="D35" s="12" t="s">
        <v>275</v>
      </c>
      <c r="E35" s="12" t="s">
        <v>276</v>
      </c>
      <c r="F35" s="12" t="s">
        <v>277</v>
      </c>
      <c r="G35" s="12" t="s">
        <v>278</v>
      </c>
      <c r="H35" s="12" t="s">
        <v>279</v>
      </c>
      <c r="I35" s="12" t="s">
        <v>280</v>
      </c>
      <c r="J35" s="12" t="s">
        <v>281</v>
      </c>
      <c r="K35" s="12" t="s">
        <v>68</v>
      </c>
      <c r="L35" s="12" t="s">
        <v>69</v>
      </c>
      <c r="M35" s="12" t="s">
        <v>68</v>
      </c>
      <c r="N35" s="12"/>
    </row>
    <row r="36" spans="1:14" ht="39.6" x14ac:dyDescent="0.3">
      <c r="A36" s="12" t="s">
        <v>282</v>
      </c>
      <c r="B36" s="12" t="s">
        <v>218</v>
      </c>
      <c r="C36" s="12" t="s">
        <v>283</v>
      </c>
      <c r="D36" s="12" t="s">
        <v>284</v>
      </c>
      <c r="E36" s="12" t="s">
        <v>62</v>
      </c>
      <c r="F36" s="12" t="s">
        <v>285</v>
      </c>
      <c r="G36" s="12" t="s">
        <v>286</v>
      </c>
      <c r="H36" s="12" t="s">
        <v>287</v>
      </c>
      <c r="I36" s="12" t="s">
        <v>288</v>
      </c>
      <c r="J36" s="12" t="s">
        <v>289</v>
      </c>
      <c r="K36" s="12" t="s">
        <v>68</v>
      </c>
      <c r="L36" s="12" t="s">
        <v>69</v>
      </c>
      <c r="M36" s="12" t="s">
        <v>68</v>
      </c>
      <c r="N36" s="12"/>
    </row>
    <row r="37" spans="1:14" ht="39.6" x14ac:dyDescent="0.3">
      <c r="A37" s="12" t="s">
        <v>290</v>
      </c>
      <c r="B37" s="12" t="s">
        <v>218</v>
      </c>
      <c r="C37" s="12" t="s">
        <v>283</v>
      </c>
      <c r="D37" s="12" t="s">
        <v>291</v>
      </c>
      <c r="E37" s="12" t="s">
        <v>62</v>
      </c>
      <c r="F37" s="12" t="s">
        <v>285</v>
      </c>
      <c r="G37" s="12" t="s">
        <v>292</v>
      </c>
      <c r="H37" s="12" t="s">
        <v>293</v>
      </c>
      <c r="I37" s="12" t="s">
        <v>294</v>
      </c>
      <c r="J37" s="12" t="s">
        <v>273</v>
      </c>
      <c r="K37" s="12" t="s">
        <v>68</v>
      </c>
      <c r="L37" s="12" t="s">
        <v>69</v>
      </c>
      <c r="M37" s="12" t="s">
        <v>68</v>
      </c>
      <c r="N37" s="12"/>
    </row>
    <row r="38" spans="1:14" ht="39.6" x14ac:dyDescent="0.3">
      <c r="A38" s="12" t="s">
        <v>295</v>
      </c>
      <c r="B38" s="12" t="s">
        <v>218</v>
      </c>
      <c r="C38" s="12" t="s">
        <v>296</v>
      </c>
      <c r="D38" s="12" t="s">
        <v>297</v>
      </c>
      <c r="E38" s="12" t="s">
        <v>298</v>
      </c>
      <c r="F38" s="12" t="s">
        <v>285</v>
      </c>
      <c r="G38" s="12" t="s">
        <v>299</v>
      </c>
      <c r="H38" s="12" t="s">
        <v>300</v>
      </c>
      <c r="I38" s="12" t="s">
        <v>301</v>
      </c>
      <c r="J38" s="12" t="s">
        <v>302</v>
      </c>
      <c r="K38" s="12" t="s">
        <v>68</v>
      </c>
      <c r="L38" s="12" t="s">
        <v>69</v>
      </c>
      <c r="M38" s="12" t="s">
        <v>68</v>
      </c>
      <c r="N38" s="12"/>
    </row>
    <row r="39" spans="1:14" ht="39.6" x14ac:dyDescent="0.3">
      <c r="A39" s="12" t="s">
        <v>303</v>
      </c>
      <c r="B39" s="12" t="s">
        <v>218</v>
      </c>
      <c r="C39" s="12" t="s">
        <v>283</v>
      </c>
      <c r="D39" s="12" t="s">
        <v>304</v>
      </c>
      <c r="E39" s="12" t="s">
        <v>305</v>
      </c>
      <c r="F39" s="12" t="s">
        <v>285</v>
      </c>
      <c r="G39" s="12" t="s">
        <v>306</v>
      </c>
      <c r="H39" s="12" t="s">
        <v>307</v>
      </c>
      <c r="I39" s="12" t="s">
        <v>308</v>
      </c>
      <c r="J39" s="12" t="s">
        <v>309</v>
      </c>
      <c r="K39" s="12" t="s">
        <v>214</v>
      </c>
      <c r="L39" s="12" t="s">
        <v>310</v>
      </c>
      <c r="M39" s="12" t="s">
        <v>68</v>
      </c>
      <c r="N39" s="12" t="s">
        <v>311</v>
      </c>
    </row>
    <row r="40" spans="1:14" ht="26.4" x14ac:dyDescent="0.3">
      <c r="A40" s="12" t="s">
        <v>312</v>
      </c>
      <c r="B40" s="12" t="s">
        <v>218</v>
      </c>
      <c r="C40" s="12" t="s">
        <v>283</v>
      </c>
      <c r="D40" s="12" t="s">
        <v>313</v>
      </c>
      <c r="E40" s="12" t="s">
        <v>314</v>
      </c>
      <c r="F40" s="12" t="s">
        <v>315</v>
      </c>
      <c r="G40" s="12" t="s">
        <v>316</v>
      </c>
      <c r="H40" s="12" t="s">
        <v>317</v>
      </c>
      <c r="I40" s="12" t="s">
        <v>318</v>
      </c>
      <c r="J40" s="12" t="s">
        <v>310</v>
      </c>
      <c r="K40" s="12" t="s">
        <v>214</v>
      </c>
      <c r="L40" s="12" t="s">
        <v>319</v>
      </c>
      <c r="M40" s="12" t="s">
        <v>68</v>
      </c>
      <c r="N40" s="12" t="s">
        <v>320</v>
      </c>
    </row>
    <row r="41" spans="1:14" ht="26.4" x14ac:dyDescent="0.3">
      <c r="A41" s="12" t="s">
        <v>321</v>
      </c>
      <c r="B41" s="12" t="s">
        <v>218</v>
      </c>
      <c r="C41" s="12" t="s">
        <v>267</v>
      </c>
      <c r="D41" s="12" t="s">
        <v>322</v>
      </c>
      <c r="E41" s="12" t="s">
        <v>323</v>
      </c>
      <c r="F41" s="12" t="s">
        <v>285</v>
      </c>
      <c r="G41" s="12" t="s">
        <v>324</v>
      </c>
      <c r="H41" s="12" t="s">
        <v>325</v>
      </c>
      <c r="I41" s="12" t="s">
        <v>326</v>
      </c>
      <c r="J41" s="12" t="s">
        <v>327</v>
      </c>
      <c r="K41" s="12" t="s">
        <v>68</v>
      </c>
      <c r="L41" s="12" t="s">
        <v>69</v>
      </c>
      <c r="M41" s="12" t="s">
        <v>68</v>
      </c>
      <c r="N41" s="12"/>
    </row>
    <row r="42" spans="1:14" ht="52.8" x14ac:dyDescent="0.3">
      <c r="A42" s="12" t="s">
        <v>328</v>
      </c>
      <c r="B42" s="12" t="s">
        <v>329</v>
      </c>
      <c r="C42" s="12" t="s">
        <v>330</v>
      </c>
      <c r="D42" s="12" t="s">
        <v>331</v>
      </c>
      <c r="E42" s="12" t="s">
        <v>197</v>
      </c>
      <c r="F42" s="12" t="s">
        <v>332</v>
      </c>
      <c r="G42" s="12" t="s">
        <v>333</v>
      </c>
      <c r="H42" s="12" t="s">
        <v>334</v>
      </c>
      <c r="I42" s="12" t="s">
        <v>335</v>
      </c>
      <c r="J42" s="12" t="s">
        <v>336</v>
      </c>
      <c r="K42" s="12" t="s">
        <v>68</v>
      </c>
      <c r="L42" s="12" t="s">
        <v>69</v>
      </c>
      <c r="M42" s="12" t="s">
        <v>68</v>
      </c>
      <c r="N42" s="12"/>
    </row>
    <row r="43" spans="1:14" ht="26.4" x14ac:dyDescent="0.3">
      <c r="A43" s="12" t="s">
        <v>337</v>
      </c>
      <c r="B43" s="12" t="s">
        <v>329</v>
      </c>
      <c r="C43" s="12" t="s">
        <v>330</v>
      </c>
      <c r="D43" s="12" t="s">
        <v>338</v>
      </c>
      <c r="E43" s="12" t="s">
        <v>339</v>
      </c>
      <c r="F43" s="12" t="s">
        <v>340</v>
      </c>
      <c r="G43" s="12" t="s">
        <v>341</v>
      </c>
      <c r="H43" s="12" t="s">
        <v>151</v>
      </c>
      <c r="I43" s="12" t="s">
        <v>342</v>
      </c>
      <c r="J43" s="12" t="s">
        <v>343</v>
      </c>
      <c r="K43" s="12" t="s">
        <v>68</v>
      </c>
      <c r="L43" s="12" t="s">
        <v>69</v>
      </c>
      <c r="M43" s="12" t="s">
        <v>68</v>
      </c>
      <c r="N43" s="12"/>
    </row>
    <row r="44" spans="1:14" ht="39.6" x14ac:dyDescent="0.3">
      <c r="A44" s="12" t="s">
        <v>344</v>
      </c>
      <c r="B44" s="12" t="s">
        <v>329</v>
      </c>
      <c r="C44" s="12" t="s">
        <v>345</v>
      </c>
      <c r="D44" s="12" t="s">
        <v>346</v>
      </c>
      <c r="E44" s="12" t="s">
        <v>323</v>
      </c>
      <c r="F44" s="12" t="s">
        <v>347</v>
      </c>
      <c r="G44" s="12" t="s">
        <v>348</v>
      </c>
      <c r="H44" s="12" t="s">
        <v>151</v>
      </c>
      <c r="I44" s="12" t="s">
        <v>349</v>
      </c>
      <c r="J44" s="12" t="s">
        <v>350</v>
      </c>
      <c r="K44" s="12" t="s">
        <v>68</v>
      </c>
      <c r="L44" s="12" t="s">
        <v>69</v>
      </c>
      <c r="M44" s="12" t="s">
        <v>68</v>
      </c>
      <c r="N44" s="12"/>
    </row>
    <row r="45" spans="1:14" ht="39.6" x14ac:dyDescent="0.3">
      <c r="A45" s="12" t="s">
        <v>351</v>
      </c>
      <c r="B45" s="12" t="s">
        <v>329</v>
      </c>
      <c r="C45" s="12" t="s">
        <v>345</v>
      </c>
      <c r="D45" s="12" t="s">
        <v>352</v>
      </c>
      <c r="E45" s="12" t="s">
        <v>353</v>
      </c>
      <c r="F45" s="12" t="s">
        <v>354</v>
      </c>
      <c r="G45" s="12" t="s">
        <v>355</v>
      </c>
      <c r="H45" s="12" t="s">
        <v>151</v>
      </c>
      <c r="I45" s="12" t="s">
        <v>356</v>
      </c>
      <c r="J45" s="12" t="s">
        <v>357</v>
      </c>
      <c r="K45" s="12" t="s">
        <v>68</v>
      </c>
      <c r="L45" s="12" t="s">
        <v>69</v>
      </c>
      <c r="M45" s="12" t="s">
        <v>68</v>
      </c>
      <c r="N45" s="12"/>
    </row>
    <row r="46" spans="1:14" ht="39.6" x14ac:dyDescent="0.3">
      <c r="A46" s="12" t="s">
        <v>358</v>
      </c>
      <c r="B46" s="12" t="s">
        <v>329</v>
      </c>
      <c r="C46" s="12" t="s">
        <v>359</v>
      </c>
      <c r="D46" s="12" t="s">
        <v>360</v>
      </c>
      <c r="E46" s="12" t="s">
        <v>197</v>
      </c>
      <c r="F46" s="12" t="s">
        <v>361</v>
      </c>
      <c r="G46" s="12" t="s">
        <v>362</v>
      </c>
      <c r="H46" s="12" t="s">
        <v>363</v>
      </c>
      <c r="I46" s="12" t="s">
        <v>364</v>
      </c>
      <c r="J46" s="12" t="s">
        <v>365</v>
      </c>
      <c r="K46" s="12" t="s">
        <v>68</v>
      </c>
      <c r="L46" s="12" t="s">
        <v>69</v>
      </c>
      <c r="M46" s="12" t="s">
        <v>68</v>
      </c>
      <c r="N46" s="12"/>
    </row>
    <row r="47" spans="1:14" ht="39.6" x14ac:dyDescent="0.3">
      <c r="A47" s="12" t="s">
        <v>366</v>
      </c>
      <c r="B47" s="12" t="s">
        <v>329</v>
      </c>
      <c r="C47" s="12" t="s">
        <v>367</v>
      </c>
      <c r="D47" s="12" t="s">
        <v>368</v>
      </c>
      <c r="E47" s="12" t="s">
        <v>62</v>
      </c>
      <c r="F47" s="12" t="s">
        <v>361</v>
      </c>
      <c r="G47" s="12" t="s">
        <v>369</v>
      </c>
      <c r="H47" s="12" t="s">
        <v>370</v>
      </c>
      <c r="I47" s="12" t="s">
        <v>371</v>
      </c>
      <c r="J47" s="12" t="s">
        <v>372</v>
      </c>
      <c r="K47" s="12" t="s">
        <v>68</v>
      </c>
      <c r="L47" s="12" t="s">
        <v>69</v>
      </c>
      <c r="M47" s="12" t="s">
        <v>68</v>
      </c>
      <c r="N47" s="12"/>
    </row>
    <row r="48" spans="1:14" ht="39.6" x14ac:dyDescent="0.3">
      <c r="A48" s="12" t="s">
        <v>373</v>
      </c>
      <c r="B48" s="12" t="s">
        <v>329</v>
      </c>
      <c r="C48" s="12" t="s">
        <v>367</v>
      </c>
      <c r="D48" s="12" t="s">
        <v>374</v>
      </c>
      <c r="E48" s="12" t="s">
        <v>72</v>
      </c>
      <c r="F48" s="12" t="s">
        <v>361</v>
      </c>
      <c r="G48" s="12" t="s">
        <v>375</v>
      </c>
      <c r="H48" s="12" t="s">
        <v>376</v>
      </c>
      <c r="I48" s="12" t="s">
        <v>377</v>
      </c>
      <c r="J48" s="12" t="s">
        <v>378</v>
      </c>
      <c r="K48" s="12" t="s">
        <v>68</v>
      </c>
      <c r="L48" s="12" t="s">
        <v>69</v>
      </c>
      <c r="M48" s="12" t="s">
        <v>68</v>
      </c>
      <c r="N48" s="12"/>
    </row>
    <row r="49" spans="1:14" ht="52.8" x14ac:dyDescent="0.3">
      <c r="A49" s="12" t="s">
        <v>379</v>
      </c>
      <c r="B49" s="12" t="s">
        <v>380</v>
      </c>
      <c r="C49" s="12" t="s">
        <v>381</v>
      </c>
      <c r="D49" s="12" t="s">
        <v>382</v>
      </c>
      <c r="E49" s="12" t="s">
        <v>86</v>
      </c>
      <c r="F49" s="12" t="s">
        <v>383</v>
      </c>
      <c r="G49" s="12" t="s">
        <v>384</v>
      </c>
      <c r="H49" s="12" t="s">
        <v>385</v>
      </c>
      <c r="I49" s="12" t="s">
        <v>386</v>
      </c>
      <c r="J49" s="12" t="s">
        <v>387</v>
      </c>
      <c r="K49" s="12" t="s">
        <v>68</v>
      </c>
      <c r="L49" s="12" t="s">
        <v>69</v>
      </c>
      <c r="M49" s="12" t="s">
        <v>68</v>
      </c>
      <c r="N49" s="12"/>
    </row>
    <row r="50" spans="1:14" ht="39.6" x14ac:dyDescent="0.3">
      <c r="A50" s="12" t="s">
        <v>388</v>
      </c>
      <c r="B50" s="12" t="s">
        <v>380</v>
      </c>
      <c r="C50" s="12" t="s">
        <v>381</v>
      </c>
      <c r="D50" s="12" t="s">
        <v>389</v>
      </c>
      <c r="E50" s="12" t="s">
        <v>353</v>
      </c>
      <c r="F50" s="12" t="s">
        <v>383</v>
      </c>
      <c r="G50" s="12" t="s">
        <v>390</v>
      </c>
      <c r="H50" s="12" t="s">
        <v>391</v>
      </c>
      <c r="I50" s="12" t="s">
        <v>392</v>
      </c>
      <c r="J50" s="12" t="s">
        <v>393</v>
      </c>
      <c r="K50" s="12" t="s">
        <v>68</v>
      </c>
      <c r="L50" s="12" t="s">
        <v>69</v>
      </c>
      <c r="M50" s="12" t="s">
        <v>68</v>
      </c>
      <c r="N50" s="12"/>
    </row>
    <row r="51" spans="1:14" ht="39.6" x14ac:dyDescent="0.3">
      <c r="A51" s="12" t="s">
        <v>394</v>
      </c>
      <c r="B51" s="12" t="s">
        <v>380</v>
      </c>
      <c r="C51" s="12" t="s">
        <v>395</v>
      </c>
      <c r="D51" s="12" t="s">
        <v>396</v>
      </c>
      <c r="E51" s="12" t="s">
        <v>353</v>
      </c>
      <c r="F51" s="12" t="s">
        <v>397</v>
      </c>
      <c r="G51" s="12" t="s">
        <v>398</v>
      </c>
      <c r="H51" s="12" t="s">
        <v>151</v>
      </c>
      <c r="I51" s="12" t="s">
        <v>399</v>
      </c>
      <c r="J51" s="12" t="s">
        <v>400</v>
      </c>
      <c r="K51" s="12" t="s">
        <v>214</v>
      </c>
      <c r="L51" s="12" t="s">
        <v>401</v>
      </c>
      <c r="M51" s="12" t="s">
        <v>68</v>
      </c>
      <c r="N51" s="12" t="s">
        <v>402</v>
      </c>
    </row>
    <row r="52" spans="1:14" ht="39.6" x14ac:dyDescent="0.3">
      <c r="A52" s="12" t="s">
        <v>403</v>
      </c>
      <c r="B52" s="12" t="s">
        <v>380</v>
      </c>
      <c r="C52" s="12" t="s">
        <v>404</v>
      </c>
      <c r="D52" s="12" t="s">
        <v>405</v>
      </c>
      <c r="E52" s="12" t="s">
        <v>353</v>
      </c>
      <c r="F52" s="12" t="s">
        <v>406</v>
      </c>
      <c r="G52" s="12" t="s">
        <v>407</v>
      </c>
      <c r="H52" s="12" t="s">
        <v>151</v>
      </c>
      <c r="I52" s="12" t="s">
        <v>408</v>
      </c>
      <c r="J52" s="12" t="s">
        <v>409</v>
      </c>
      <c r="K52" s="12" t="s">
        <v>68</v>
      </c>
      <c r="L52" s="12" t="s">
        <v>69</v>
      </c>
      <c r="M52" s="12" t="s">
        <v>68</v>
      </c>
      <c r="N52" s="12"/>
    </row>
    <row r="53" spans="1:14" ht="26.4" x14ac:dyDescent="0.3">
      <c r="A53" s="12" t="s">
        <v>410</v>
      </c>
      <c r="B53" s="12" t="s">
        <v>380</v>
      </c>
      <c r="C53" s="12" t="s">
        <v>404</v>
      </c>
      <c r="D53" s="12" t="s">
        <v>411</v>
      </c>
      <c r="E53" s="12" t="s">
        <v>353</v>
      </c>
      <c r="F53" s="12" t="s">
        <v>412</v>
      </c>
      <c r="G53" s="12" t="s">
        <v>413</v>
      </c>
      <c r="H53" s="12" t="s">
        <v>151</v>
      </c>
      <c r="I53" s="12" t="s">
        <v>414</v>
      </c>
      <c r="J53" s="12" t="s">
        <v>415</v>
      </c>
      <c r="K53" s="12" t="s">
        <v>68</v>
      </c>
      <c r="L53" s="12" t="s">
        <v>69</v>
      </c>
      <c r="M53" s="12" t="s">
        <v>68</v>
      </c>
      <c r="N53" s="12"/>
    </row>
    <row r="54" spans="1:14" ht="26.4" x14ac:dyDescent="0.3">
      <c r="A54" s="12" t="s">
        <v>416</v>
      </c>
      <c r="B54" s="12" t="s">
        <v>380</v>
      </c>
      <c r="C54" s="12" t="s">
        <v>381</v>
      </c>
      <c r="D54" s="12" t="s">
        <v>417</v>
      </c>
      <c r="E54" s="12" t="s">
        <v>418</v>
      </c>
      <c r="F54" s="12" t="s">
        <v>419</v>
      </c>
      <c r="G54" s="12" t="s">
        <v>420</v>
      </c>
      <c r="H54" s="12" t="s">
        <v>421</v>
      </c>
      <c r="I54" s="12" t="s">
        <v>280</v>
      </c>
      <c r="J54" s="12" t="s">
        <v>422</v>
      </c>
      <c r="K54" s="12" t="s">
        <v>68</v>
      </c>
      <c r="L54" s="12" t="s">
        <v>69</v>
      </c>
      <c r="M54" s="12" t="s">
        <v>68</v>
      </c>
      <c r="N54" s="12"/>
    </row>
  </sheetData>
  <autoFilter ref="A1:N54"/>
  <conditionalFormatting sqref="K2:K54">
    <cfRule type="cellIs" dxfId="9" priority="2" operator="equal">
      <formula>"Pass"</formula>
    </cfRule>
    <cfRule type="cellIs" dxfId="8" priority="3" operator="equal">
      <formula>"Fail"</formula>
    </cfRule>
  </conditionalFormatting>
  <conditionalFormatting sqref="M2:M54">
    <cfRule type="cellIs" dxfId="7" priority="4" operator="equal">
      <formula>"Pass"</formula>
    </cfRule>
    <cfRule type="cellIs" dxfId="6" priority="5" operator="equal">
      <formula>"Fail"</formula>
    </cfRule>
  </conditionalFormatting>
  <dataValidations count="1">
    <dataValidation type="list" allowBlank="1" sqref="K2:K54 M2:M54">
      <formula1>"Pass,Fail,Blocked,Not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zoomScale="90" zoomScaleNormal="90" workbookViewId="0">
      <selection activeCell="A6" sqref="A6"/>
    </sheetView>
  </sheetViews>
  <sheetFormatPr defaultColWidth="8.6640625" defaultRowHeight="14.4" x14ac:dyDescent="0.3"/>
  <cols>
    <col min="1" max="1" width="58" customWidth="1"/>
    <col min="2" max="2" width="18" customWidth="1"/>
    <col min="3" max="3" width="34" customWidth="1"/>
    <col min="4" max="5" width="26" customWidth="1"/>
    <col min="6" max="6" width="9" customWidth="1"/>
    <col min="7" max="7" width="40" customWidth="1"/>
  </cols>
  <sheetData>
    <row r="1" spans="1:1" ht="17.399999999999999" x14ac:dyDescent="0.3">
      <c r="A1" s="1" t="s">
        <v>600</v>
      </c>
    </row>
    <row r="3" spans="1:1" x14ac:dyDescent="0.3">
      <c r="A3" s="2" t="s">
        <v>601</v>
      </c>
    </row>
    <row r="4" spans="1:1" x14ac:dyDescent="0.3">
      <c r="A4" s="13" t="s">
        <v>602</v>
      </c>
    </row>
    <row r="5" spans="1:1" x14ac:dyDescent="0.3">
      <c r="A5" s="13" t="s">
        <v>603</v>
      </c>
    </row>
    <row r="6" spans="1:1" x14ac:dyDescent="0.3">
      <c r="A6" s="13" t="s">
        <v>604</v>
      </c>
    </row>
    <row r="7" spans="1:1" x14ac:dyDescent="0.3">
      <c r="A7" s="13" t="s">
        <v>605</v>
      </c>
    </row>
    <row r="8" spans="1:1" x14ac:dyDescent="0.3">
      <c r="A8" s="13" t="s">
        <v>606</v>
      </c>
    </row>
    <row r="9" spans="1:1" x14ac:dyDescent="0.3">
      <c r="A9" s="13" t="s">
        <v>607</v>
      </c>
    </row>
    <row r="10" spans="1:1" x14ac:dyDescent="0.3">
      <c r="A10" s="13" t="s">
        <v>608</v>
      </c>
    </row>
    <row r="11" spans="1:1" x14ac:dyDescent="0.3">
      <c r="A11" s="13" t="s">
        <v>609</v>
      </c>
    </row>
    <row r="12" spans="1:1" x14ac:dyDescent="0.3">
      <c r="A12" s="13" t="s">
        <v>610</v>
      </c>
    </row>
    <row r="13" spans="1:1" x14ac:dyDescent="0.3">
      <c r="A13" s="13" t="s">
        <v>611</v>
      </c>
    </row>
    <row r="14" spans="1:1" x14ac:dyDescent="0.3">
      <c r="A14" s="13" t="s">
        <v>612</v>
      </c>
    </row>
    <row r="15" spans="1:1" x14ac:dyDescent="0.3">
      <c r="A15" s="13" t="s">
        <v>613</v>
      </c>
    </row>
    <row r="16" spans="1:1" x14ac:dyDescent="0.3">
      <c r="A16" s="3" t="s">
        <v>614</v>
      </c>
    </row>
    <row r="17" spans="1:7" x14ac:dyDescent="0.3">
      <c r="A17" s="2" t="s">
        <v>615</v>
      </c>
      <c r="B17" s="3">
        <v>12</v>
      </c>
    </row>
    <row r="18" spans="1:7" x14ac:dyDescent="0.3">
      <c r="A18" s="2" t="s">
        <v>616</v>
      </c>
      <c r="B18" s="3">
        <v>16</v>
      </c>
    </row>
    <row r="19" spans="1:7" x14ac:dyDescent="0.3">
      <c r="A19" s="2" t="s">
        <v>617</v>
      </c>
      <c r="B19" s="3">
        <v>5</v>
      </c>
    </row>
    <row r="20" spans="1:7" x14ac:dyDescent="0.3">
      <c r="A20" s="2" t="s">
        <v>618</v>
      </c>
      <c r="B20" s="3">
        <f>B18-B17+2</f>
        <v>6</v>
      </c>
    </row>
    <row r="21" spans="1:7" x14ac:dyDescent="0.3">
      <c r="A21" s="2" t="s">
        <v>619</v>
      </c>
      <c r="B21" s="3">
        <f>B19+1</f>
        <v>6</v>
      </c>
    </row>
    <row r="23" spans="1:7" x14ac:dyDescent="0.3">
      <c r="A23" s="11" t="s">
        <v>620</v>
      </c>
      <c r="B23" s="11" t="s">
        <v>621</v>
      </c>
      <c r="C23" s="11" t="s">
        <v>622</v>
      </c>
      <c r="D23" s="11" t="s">
        <v>623</v>
      </c>
      <c r="E23" s="11" t="s">
        <v>624</v>
      </c>
      <c r="F23" s="11" t="s">
        <v>625</v>
      </c>
      <c r="G23" s="11" t="s">
        <v>626</v>
      </c>
    </row>
    <row r="24" spans="1:7" x14ac:dyDescent="0.3">
      <c r="A24" s="12" t="s">
        <v>523</v>
      </c>
      <c r="B24" s="12" t="s">
        <v>627</v>
      </c>
      <c r="C24" s="12" t="s">
        <v>628</v>
      </c>
      <c r="D24" s="12" t="s">
        <v>629</v>
      </c>
      <c r="E24" s="12" t="s">
        <v>629</v>
      </c>
      <c r="F24" s="12" t="s">
        <v>68</v>
      </c>
      <c r="G24" s="12" t="s">
        <v>630</v>
      </c>
    </row>
    <row r="25" spans="1:7" x14ac:dyDescent="0.3">
      <c r="A25" s="12" t="s">
        <v>526</v>
      </c>
      <c r="B25" s="12" t="s">
        <v>631</v>
      </c>
      <c r="C25" s="12" t="s">
        <v>632</v>
      </c>
      <c r="D25" s="12" t="s">
        <v>633</v>
      </c>
      <c r="E25" s="12" t="s">
        <v>633</v>
      </c>
      <c r="F25" s="12" t="s">
        <v>68</v>
      </c>
      <c r="G25" s="12" t="s">
        <v>634</v>
      </c>
    </row>
    <row r="26" spans="1:7" x14ac:dyDescent="0.3">
      <c r="A26" s="12" t="s">
        <v>530</v>
      </c>
      <c r="B26" s="12" t="s">
        <v>635</v>
      </c>
      <c r="C26" s="12" t="s">
        <v>636</v>
      </c>
      <c r="D26" s="12" t="s">
        <v>637</v>
      </c>
      <c r="E26" s="12" t="s">
        <v>637</v>
      </c>
      <c r="F26" s="12" t="s">
        <v>68</v>
      </c>
      <c r="G26" s="12" t="s">
        <v>638</v>
      </c>
    </row>
    <row r="27" spans="1:7" x14ac:dyDescent="0.3">
      <c r="A27" s="12" t="s">
        <v>535</v>
      </c>
      <c r="B27" s="12" t="s">
        <v>639</v>
      </c>
      <c r="C27" s="12" t="s">
        <v>528</v>
      </c>
      <c r="D27" s="12" t="s">
        <v>640</v>
      </c>
      <c r="E27" s="12" t="s">
        <v>640</v>
      </c>
      <c r="F27" s="12" t="s">
        <v>68</v>
      </c>
      <c r="G27" s="12" t="s">
        <v>641</v>
      </c>
    </row>
    <row r="28" spans="1:7" x14ac:dyDescent="0.3">
      <c r="A28" s="12" t="s">
        <v>642</v>
      </c>
      <c r="B28" s="12" t="s">
        <v>643</v>
      </c>
      <c r="C28" s="12" t="s">
        <v>532</v>
      </c>
      <c r="D28" s="12" t="s">
        <v>644</v>
      </c>
      <c r="E28" s="12" t="s">
        <v>644</v>
      </c>
      <c r="F28" s="12" t="s">
        <v>68</v>
      </c>
      <c r="G28" s="12" t="s">
        <v>645</v>
      </c>
    </row>
    <row r="29" spans="1:7" x14ac:dyDescent="0.3">
      <c r="A29" s="12" t="s">
        <v>646</v>
      </c>
      <c r="B29" s="12" t="s">
        <v>647</v>
      </c>
      <c r="C29" s="12" t="s">
        <v>648</v>
      </c>
      <c r="D29" s="12" t="s">
        <v>649</v>
      </c>
      <c r="E29" s="12" t="s">
        <v>649</v>
      </c>
      <c r="F29" s="12" t="s">
        <v>68</v>
      </c>
      <c r="G29" s="12" t="s">
        <v>650</v>
      </c>
    </row>
    <row r="32" spans="1:7" x14ac:dyDescent="0.3">
      <c r="A32" s="2" t="s">
        <v>651</v>
      </c>
    </row>
    <row r="33" spans="1:2" x14ac:dyDescent="0.3">
      <c r="A33" s="13" t="s">
        <v>652</v>
      </c>
    </row>
    <row r="34" spans="1:2" x14ac:dyDescent="0.3">
      <c r="A34" s="13" t="s">
        <v>653</v>
      </c>
    </row>
    <row r="35" spans="1:2" x14ac:dyDescent="0.3">
      <c r="A35" s="13" t="s">
        <v>654</v>
      </c>
    </row>
    <row r="36" spans="1:2" x14ac:dyDescent="0.3">
      <c r="A36" s="13" t="s">
        <v>655</v>
      </c>
    </row>
    <row r="37" spans="1:2" x14ac:dyDescent="0.3">
      <c r="A37" s="13" t="s">
        <v>656</v>
      </c>
    </row>
    <row r="38" spans="1:2" x14ac:dyDescent="0.3">
      <c r="A38" s="13" t="s">
        <v>657</v>
      </c>
    </row>
    <row r="39" spans="1:2" x14ac:dyDescent="0.3">
      <c r="A39" s="13" t="s">
        <v>658</v>
      </c>
    </row>
    <row r="40" spans="1:2" x14ac:dyDescent="0.3">
      <c r="A40" s="13" t="s">
        <v>659</v>
      </c>
    </row>
    <row r="41" spans="1:2" x14ac:dyDescent="0.3">
      <c r="A41" s="13" t="s">
        <v>660</v>
      </c>
    </row>
    <row r="42" spans="1:2" x14ac:dyDescent="0.3">
      <c r="A42" s="13" t="s">
        <v>661</v>
      </c>
    </row>
    <row r="43" spans="1:2" x14ac:dyDescent="0.3">
      <c r="A43" s="3" t="s">
        <v>662</v>
      </c>
    </row>
    <row r="44" spans="1:2" x14ac:dyDescent="0.3">
      <c r="A44" s="2" t="s">
        <v>615</v>
      </c>
      <c r="B44" s="3">
        <v>10</v>
      </c>
    </row>
    <row r="45" spans="1:2" x14ac:dyDescent="0.3">
      <c r="A45" s="2" t="s">
        <v>616</v>
      </c>
      <c r="B45" s="3">
        <v>13</v>
      </c>
    </row>
    <row r="46" spans="1:2" x14ac:dyDescent="0.3">
      <c r="A46" s="2" t="s">
        <v>617</v>
      </c>
      <c r="B46" s="3">
        <v>4</v>
      </c>
    </row>
    <row r="47" spans="1:2" x14ac:dyDescent="0.3">
      <c r="A47" s="2" t="s">
        <v>618</v>
      </c>
      <c r="B47" s="3">
        <f>B45-B44+2</f>
        <v>5</v>
      </c>
    </row>
    <row r="48" spans="1:2" x14ac:dyDescent="0.3">
      <c r="A48" s="2" t="s">
        <v>619</v>
      </c>
      <c r="B48" s="3">
        <f>B46+1</f>
        <v>5</v>
      </c>
    </row>
    <row r="50" spans="1:7" x14ac:dyDescent="0.3">
      <c r="A50" s="11" t="s">
        <v>620</v>
      </c>
      <c r="B50" s="11" t="s">
        <v>621</v>
      </c>
      <c r="C50" s="11" t="s">
        <v>622</v>
      </c>
      <c r="D50" s="11" t="s">
        <v>623</v>
      </c>
      <c r="E50" s="11" t="s">
        <v>624</v>
      </c>
      <c r="F50" s="11" t="s">
        <v>625</v>
      </c>
      <c r="G50" s="11" t="s">
        <v>626</v>
      </c>
    </row>
    <row r="51" spans="1:7" x14ac:dyDescent="0.3">
      <c r="A51" s="12" t="s">
        <v>523</v>
      </c>
      <c r="B51" s="12" t="s">
        <v>663</v>
      </c>
      <c r="C51" s="12" t="s">
        <v>664</v>
      </c>
      <c r="D51" s="12" t="s">
        <v>665</v>
      </c>
      <c r="E51" s="12" t="s">
        <v>665</v>
      </c>
      <c r="F51" s="12" t="s">
        <v>68</v>
      </c>
      <c r="G51" s="12" t="s">
        <v>666</v>
      </c>
    </row>
    <row r="52" spans="1:7" x14ac:dyDescent="0.3">
      <c r="A52" s="12" t="s">
        <v>526</v>
      </c>
      <c r="B52" s="12" t="s">
        <v>667</v>
      </c>
      <c r="C52" s="12" t="s">
        <v>668</v>
      </c>
      <c r="D52" s="12" t="s">
        <v>669</v>
      </c>
      <c r="E52" s="12" t="s">
        <v>669</v>
      </c>
      <c r="F52" s="12" t="s">
        <v>68</v>
      </c>
      <c r="G52" s="12" t="s">
        <v>670</v>
      </c>
    </row>
    <row r="53" spans="1:7" x14ac:dyDescent="0.3">
      <c r="A53" s="12" t="s">
        <v>530</v>
      </c>
      <c r="B53" s="12" t="s">
        <v>671</v>
      </c>
      <c r="C53" s="12" t="s">
        <v>672</v>
      </c>
      <c r="D53" s="12" t="s">
        <v>665</v>
      </c>
      <c r="E53" s="12" t="s">
        <v>665</v>
      </c>
      <c r="F53" s="12" t="s">
        <v>68</v>
      </c>
      <c r="G53" s="12" t="s">
        <v>673</v>
      </c>
    </row>
    <row r="54" spans="1:7" x14ac:dyDescent="0.3">
      <c r="A54" s="12" t="s">
        <v>535</v>
      </c>
      <c r="B54" s="12" t="s">
        <v>674</v>
      </c>
      <c r="C54" s="12" t="s">
        <v>675</v>
      </c>
      <c r="D54" s="12" t="s">
        <v>669</v>
      </c>
      <c r="E54" s="12" t="s">
        <v>669</v>
      </c>
      <c r="F54" s="12" t="s">
        <v>68</v>
      </c>
      <c r="G54" s="12" t="s">
        <v>676</v>
      </c>
    </row>
    <row r="55" spans="1:7" x14ac:dyDescent="0.3">
      <c r="A55" s="12" t="s">
        <v>642</v>
      </c>
      <c r="B55" s="12" t="s">
        <v>677</v>
      </c>
      <c r="C55" s="12" t="s">
        <v>678</v>
      </c>
      <c r="D55" s="12" t="s">
        <v>669</v>
      </c>
      <c r="E55" s="12" t="s">
        <v>669</v>
      </c>
      <c r="F55" s="12" t="s">
        <v>68</v>
      </c>
      <c r="G55" s="12" t="s">
        <v>679</v>
      </c>
    </row>
    <row r="58" spans="1:7" x14ac:dyDescent="0.3">
      <c r="A58" s="2" t="s">
        <v>680</v>
      </c>
    </row>
    <row r="59" spans="1:7" ht="26.4" x14ac:dyDescent="0.3">
      <c r="A59" s="11" t="s">
        <v>681</v>
      </c>
      <c r="B59" s="11" t="s">
        <v>682</v>
      </c>
      <c r="C59" s="11" t="s">
        <v>683</v>
      </c>
      <c r="D59" s="11" t="s">
        <v>684</v>
      </c>
      <c r="E59" s="11" t="s">
        <v>685</v>
      </c>
      <c r="F59" s="11" t="s">
        <v>686</v>
      </c>
    </row>
    <row r="60" spans="1:7" x14ac:dyDescent="0.3">
      <c r="A60" s="12" t="s">
        <v>687</v>
      </c>
      <c r="B60" s="12">
        <v>327</v>
      </c>
      <c r="C60" s="12">
        <v>9</v>
      </c>
      <c r="D60" s="12">
        <v>104</v>
      </c>
      <c r="E60" s="12">
        <v>10</v>
      </c>
      <c r="F60" s="12" t="s">
        <v>688</v>
      </c>
    </row>
    <row r="61" spans="1:7" x14ac:dyDescent="0.3">
      <c r="A61" s="12" t="s">
        <v>689</v>
      </c>
      <c r="B61" s="12">
        <v>33</v>
      </c>
      <c r="C61" s="12">
        <v>0</v>
      </c>
      <c r="D61" s="12">
        <v>10</v>
      </c>
      <c r="E61" s="12">
        <v>0</v>
      </c>
      <c r="F61" s="12" t="s">
        <v>690</v>
      </c>
    </row>
    <row r="62" spans="1:7" x14ac:dyDescent="0.3">
      <c r="A62" s="12" t="s">
        <v>691</v>
      </c>
      <c r="B62" s="12">
        <v>73</v>
      </c>
      <c r="C62" s="12">
        <v>0</v>
      </c>
      <c r="D62" s="12">
        <v>42</v>
      </c>
      <c r="E62" s="12">
        <v>0</v>
      </c>
      <c r="F62" s="12" t="s">
        <v>690</v>
      </c>
    </row>
    <row r="63" spans="1:7" x14ac:dyDescent="0.3">
      <c r="A63" s="12" t="s">
        <v>692</v>
      </c>
      <c r="B63" s="12">
        <v>15</v>
      </c>
      <c r="C63" s="12">
        <v>0</v>
      </c>
      <c r="D63" s="12">
        <v>6</v>
      </c>
      <c r="E63" s="12">
        <v>0</v>
      </c>
      <c r="F63" s="12" t="s">
        <v>690</v>
      </c>
    </row>
    <row r="64" spans="1:7" x14ac:dyDescent="0.3">
      <c r="A64" s="12" t="s">
        <v>30</v>
      </c>
      <c r="B64" s="12">
        <v>448</v>
      </c>
      <c r="C64" s="12">
        <v>9</v>
      </c>
      <c r="D64" s="12">
        <v>162</v>
      </c>
      <c r="E64" s="12">
        <v>10</v>
      </c>
      <c r="F64" s="12" t="s">
        <v>693</v>
      </c>
    </row>
    <row r="65" spans="1:1" x14ac:dyDescent="0.3">
      <c r="A65" s="14" t="s">
        <v>694</v>
      </c>
    </row>
  </sheetData>
  <conditionalFormatting sqref="F24:F29">
    <cfRule type="cellIs" dxfId="5" priority="2" operator="equal">
      <formula>"Pass"</formula>
    </cfRule>
    <cfRule type="cellIs" dxfId="4" priority="3" operator="equal">
      <formula>"Fail"</formula>
    </cfRule>
  </conditionalFormatting>
  <conditionalFormatting sqref="F51:F55">
    <cfRule type="cellIs" dxfId="3" priority="4" operator="equal">
      <formula>"Pass"</formula>
    </cfRule>
    <cfRule type="cellIs" dxfId="2" priority="5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="90" zoomScaleNormal="9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26" customWidth="1"/>
    <col min="3" max="4" width="7" customWidth="1"/>
    <col min="5" max="5" width="12" customWidth="1"/>
    <col min="6" max="6" width="14" customWidth="1"/>
    <col min="7" max="7" width="12" customWidth="1"/>
    <col min="8" max="10" width="13" customWidth="1"/>
    <col min="11" max="11" width="26" customWidth="1"/>
    <col min="12" max="12" width="34" customWidth="1"/>
  </cols>
  <sheetData>
    <row r="1" spans="1:12" ht="17.399999999999999" x14ac:dyDescent="0.3">
      <c r="A1" s="1" t="s">
        <v>423</v>
      </c>
    </row>
    <row r="3" spans="1:12" x14ac:dyDescent="0.3">
      <c r="A3" s="11" t="s">
        <v>424</v>
      </c>
      <c r="B3" s="11" t="s">
        <v>425</v>
      </c>
      <c r="C3" s="11" t="s">
        <v>426</v>
      </c>
      <c r="D3" s="11" t="s">
        <v>427</v>
      </c>
      <c r="E3" s="11" t="s">
        <v>428</v>
      </c>
      <c r="F3" s="11" t="s">
        <v>426</v>
      </c>
      <c r="G3" s="11" t="s">
        <v>429</v>
      </c>
      <c r="H3" s="11" t="s">
        <v>430</v>
      </c>
      <c r="I3" s="11" t="s">
        <v>427</v>
      </c>
      <c r="J3" s="11" t="s">
        <v>431</v>
      </c>
      <c r="K3" s="11" t="s">
        <v>432</v>
      </c>
      <c r="L3" s="11" t="s">
        <v>433</v>
      </c>
    </row>
    <row r="4" spans="1:12" x14ac:dyDescent="0.3">
      <c r="A4" s="12" t="s">
        <v>434</v>
      </c>
      <c r="B4" s="12" t="s">
        <v>435</v>
      </c>
      <c r="C4" s="12">
        <v>2</v>
      </c>
      <c r="D4" s="12">
        <v>50</v>
      </c>
      <c r="E4" s="12" t="s">
        <v>436</v>
      </c>
      <c r="F4" s="12" t="s">
        <v>437</v>
      </c>
      <c r="G4" s="12" t="s">
        <v>438</v>
      </c>
      <c r="H4" s="12" t="s">
        <v>439</v>
      </c>
      <c r="I4" s="12" t="s">
        <v>440</v>
      </c>
      <c r="J4" s="12" t="s">
        <v>441</v>
      </c>
      <c r="K4" s="12" t="s">
        <v>442</v>
      </c>
      <c r="L4" s="12" t="s">
        <v>443</v>
      </c>
    </row>
    <row r="5" spans="1:12" ht="26.4" x14ac:dyDescent="0.3">
      <c r="A5" s="12" t="s">
        <v>444</v>
      </c>
      <c r="B5" s="12" t="s">
        <v>445</v>
      </c>
      <c r="C5" s="12">
        <v>8</v>
      </c>
      <c r="D5" s="12">
        <v>20</v>
      </c>
      <c r="E5" s="12" t="s">
        <v>446</v>
      </c>
      <c r="F5" s="12" t="s">
        <v>447</v>
      </c>
      <c r="G5" s="12" t="s">
        <v>448</v>
      </c>
      <c r="H5" s="12" t="s">
        <v>449</v>
      </c>
      <c r="I5" s="12" t="s">
        <v>450</v>
      </c>
      <c r="J5" s="12" t="s">
        <v>451</v>
      </c>
      <c r="K5" s="12" t="s">
        <v>452</v>
      </c>
      <c r="L5" s="12" t="s">
        <v>453</v>
      </c>
    </row>
    <row r="6" spans="1:12" x14ac:dyDescent="0.3">
      <c r="A6" s="12" t="s">
        <v>454</v>
      </c>
      <c r="B6" s="12" t="s">
        <v>455</v>
      </c>
      <c r="C6" s="12">
        <v>5</v>
      </c>
      <c r="D6" s="12">
        <v>100</v>
      </c>
      <c r="E6" s="12" t="s">
        <v>456</v>
      </c>
      <c r="F6" s="12" t="s">
        <v>457</v>
      </c>
      <c r="G6" s="12" t="s">
        <v>458</v>
      </c>
      <c r="H6" s="12" t="s">
        <v>459</v>
      </c>
      <c r="I6" s="12" t="s">
        <v>460</v>
      </c>
      <c r="J6" s="12" t="s">
        <v>461</v>
      </c>
      <c r="K6" s="12" t="s">
        <v>462</v>
      </c>
      <c r="L6" s="12" t="s">
        <v>463</v>
      </c>
    </row>
    <row r="7" spans="1:12" ht="26.4" x14ac:dyDescent="0.3">
      <c r="A7" s="12" t="s">
        <v>464</v>
      </c>
      <c r="B7" s="12" t="s">
        <v>465</v>
      </c>
      <c r="C7" s="12">
        <v>10</v>
      </c>
      <c r="D7" s="12">
        <v>1000</v>
      </c>
      <c r="E7" s="12" t="s">
        <v>466</v>
      </c>
      <c r="F7" s="12" t="s">
        <v>467</v>
      </c>
      <c r="G7" s="12" t="s">
        <v>468</v>
      </c>
      <c r="H7" s="12" t="s">
        <v>469</v>
      </c>
      <c r="I7" s="12" t="s">
        <v>470</v>
      </c>
      <c r="J7" s="12" t="s">
        <v>471</v>
      </c>
      <c r="K7" s="12" t="s">
        <v>472</v>
      </c>
      <c r="L7" s="12" t="s">
        <v>473</v>
      </c>
    </row>
    <row r="8" spans="1:12" x14ac:dyDescent="0.3">
      <c r="A8" s="12" t="s">
        <v>474</v>
      </c>
      <c r="B8" s="12" t="s">
        <v>475</v>
      </c>
      <c r="C8" s="12">
        <v>10</v>
      </c>
      <c r="D8" s="12" t="s">
        <v>151</v>
      </c>
      <c r="E8" s="12" t="s">
        <v>466</v>
      </c>
      <c r="F8" s="12" t="s">
        <v>467</v>
      </c>
      <c r="G8" s="12" t="s">
        <v>468</v>
      </c>
      <c r="H8" s="12" t="s">
        <v>151</v>
      </c>
      <c r="I8" s="12" t="s">
        <v>151</v>
      </c>
      <c r="J8" s="12" t="s">
        <v>151</v>
      </c>
      <c r="K8" s="12" t="s">
        <v>476</v>
      </c>
      <c r="L8" s="12" t="s">
        <v>477</v>
      </c>
    </row>
    <row r="9" spans="1:12" ht="26.4" x14ac:dyDescent="0.3">
      <c r="A9" s="12" t="s">
        <v>478</v>
      </c>
      <c r="B9" s="12" t="s">
        <v>479</v>
      </c>
      <c r="C9" s="12">
        <v>0</v>
      </c>
      <c r="D9" s="12">
        <v>50</v>
      </c>
      <c r="E9" s="12" t="s">
        <v>151</v>
      </c>
      <c r="F9" s="12" t="s">
        <v>480</v>
      </c>
      <c r="G9" s="12" t="s">
        <v>481</v>
      </c>
      <c r="H9" s="12" t="s">
        <v>439</v>
      </c>
      <c r="I9" s="12" t="s">
        <v>440</v>
      </c>
      <c r="J9" s="12" t="s">
        <v>441</v>
      </c>
      <c r="K9" s="12" t="s">
        <v>482</v>
      </c>
      <c r="L9" s="12" t="s">
        <v>483</v>
      </c>
    </row>
    <row r="10" spans="1:12" x14ac:dyDescent="0.3">
      <c r="A10" s="12" t="s">
        <v>484</v>
      </c>
      <c r="B10" s="12" t="s">
        <v>485</v>
      </c>
      <c r="C10" s="12">
        <v>1</v>
      </c>
      <c r="D10" s="12">
        <v>500</v>
      </c>
      <c r="E10" s="12" t="s">
        <v>486</v>
      </c>
      <c r="F10" s="12" t="s">
        <v>481</v>
      </c>
      <c r="G10" s="12" t="s">
        <v>437</v>
      </c>
      <c r="H10" s="12" t="s">
        <v>487</v>
      </c>
      <c r="I10" s="12" t="s">
        <v>488</v>
      </c>
      <c r="J10" s="12" t="s">
        <v>489</v>
      </c>
      <c r="K10" s="12" t="s">
        <v>490</v>
      </c>
      <c r="L10" s="12" t="s">
        <v>491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="90" zoomScaleNormal="9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9" customWidth="1"/>
    <col min="3" max="3" width="32" customWidth="1"/>
    <col min="4" max="4" width="13" customWidth="1"/>
    <col min="5" max="5" width="26" customWidth="1"/>
    <col min="6" max="6" width="32" customWidth="1"/>
    <col min="7" max="7" width="22" customWidth="1"/>
  </cols>
  <sheetData>
    <row r="1" spans="1:7" ht="17.399999999999999" x14ac:dyDescent="0.3">
      <c r="A1" s="1" t="s">
        <v>492</v>
      </c>
    </row>
    <row r="3" spans="1:7" x14ac:dyDescent="0.3">
      <c r="A3" s="11" t="s">
        <v>424</v>
      </c>
      <c r="B3" s="11" t="s">
        <v>493</v>
      </c>
      <c r="C3" s="11" t="s">
        <v>494</v>
      </c>
      <c r="D3" s="11" t="s">
        <v>495</v>
      </c>
      <c r="E3" s="11" t="s">
        <v>496</v>
      </c>
      <c r="F3" s="11" t="s">
        <v>432</v>
      </c>
      <c r="G3" s="11" t="s">
        <v>433</v>
      </c>
    </row>
    <row r="4" spans="1:7" x14ac:dyDescent="0.3">
      <c r="A4" s="12" t="s">
        <v>497</v>
      </c>
      <c r="B4" s="12" t="s">
        <v>498</v>
      </c>
      <c r="C4" s="12" t="s">
        <v>499</v>
      </c>
      <c r="D4" s="12" t="s">
        <v>500</v>
      </c>
      <c r="E4" s="12" t="s">
        <v>501</v>
      </c>
      <c r="F4" s="12" t="s">
        <v>502</v>
      </c>
      <c r="G4" s="12" t="s">
        <v>503</v>
      </c>
    </row>
    <row r="5" spans="1:7" x14ac:dyDescent="0.3">
      <c r="A5" s="12" t="s">
        <v>497</v>
      </c>
      <c r="B5" s="12" t="s">
        <v>504</v>
      </c>
      <c r="C5" s="12" t="s">
        <v>505</v>
      </c>
      <c r="D5" s="12" t="s">
        <v>506</v>
      </c>
      <c r="E5" s="12" t="s">
        <v>507</v>
      </c>
      <c r="F5" s="12" t="s">
        <v>508</v>
      </c>
      <c r="G5" s="12" t="s">
        <v>123</v>
      </c>
    </row>
    <row r="6" spans="1:7" x14ac:dyDescent="0.3">
      <c r="A6" s="12" t="s">
        <v>497</v>
      </c>
      <c r="B6" s="12" t="s">
        <v>509</v>
      </c>
      <c r="C6" s="12" t="s">
        <v>510</v>
      </c>
      <c r="D6" s="12" t="s">
        <v>506</v>
      </c>
      <c r="E6" s="12" t="s">
        <v>511</v>
      </c>
      <c r="F6" s="12" t="s">
        <v>508</v>
      </c>
      <c r="G6" s="12" t="s">
        <v>512</v>
      </c>
    </row>
    <row r="7" spans="1:7" x14ac:dyDescent="0.3">
      <c r="A7" s="12" t="s">
        <v>497</v>
      </c>
      <c r="B7" s="12" t="s">
        <v>513</v>
      </c>
      <c r="C7" s="12" t="s">
        <v>514</v>
      </c>
      <c r="D7" s="12" t="s">
        <v>506</v>
      </c>
      <c r="E7" s="12" t="s">
        <v>515</v>
      </c>
      <c r="F7" s="12" t="s">
        <v>508</v>
      </c>
      <c r="G7" s="12" t="s">
        <v>512</v>
      </c>
    </row>
    <row r="8" spans="1:7" x14ac:dyDescent="0.3">
      <c r="A8" s="12" t="s">
        <v>497</v>
      </c>
      <c r="B8" s="12" t="s">
        <v>516</v>
      </c>
      <c r="C8" s="12" t="s">
        <v>517</v>
      </c>
      <c r="D8" s="12" t="s">
        <v>506</v>
      </c>
      <c r="E8" s="12" t="s">
        <v>132</v>
      </c>
      <c r="F8" s="12" t="s">
        <v>518</v>
      </c>
      <c r="G8" s="12" t="s">
        <v>129</v>
      </c>
    </row>
    <row r="9" spans="1:7" x14ac:dyDescent="0.3">
      <c r="A9" s="12" t="s">
        <v>497</v>
      </c>
      <c r="B9" s="12" t="s">
        <v>519</v>
      </c>
      <c r="C9" s="12" t="s">
        <v>520</v>
      </c>
      <c r="D9" s="12" t="s">
        <v>500</v>
      </c>
      <c r="E9" s="12" t="s">
        <v>521</v>
      </c>
      <c r="F9" s="12" t="s">
        <v>522</v>
      </c>
      <c r="G9" s="12" t="s">
        <v>159</v>
      </c>
    </row>
    <row r="10" spans="1:7" x14ac:dyDescent="0.3">
      <c r="A10" s="12" t="s">
        <v>444</v>
      </c>
      <c r="B10" s="12" t="s">
        <v>523</v>
      </c>
      <c r="C10" s="12" t="s">
        <v>524</v>
      </c>
      <c r="D10" s="12" t="s">
        <v>500</v>
      </c>
      <c r="E10" s="12" t="s">
        <v>525</v>
      </c>
      <c r="F10" s="12" t="s">
        <v>502</v>
      </c>
      <c r="G10" s="12" t="s">
        <v>103</v>
      </c>
    </row>
    <row r="11" spans="1:7" x14ac:dyDescent="0.3">
      <c r="A11" s="12" t="s">
        <v>444</v>
      </c>
      <c r="B11" s="12" t="s">
        <v>526</v>
      </c>
      <c r="C11" s="12" t="s">
        <v>527</v>
      </c>
      <c r="D11" s="12" t="s">
        <v>506</v>
      </c>
      <c r="E11" s="12" t="s">
        <v>528</v>
      </c>
      <c r="F11" s="12" t="s">
        <v>529</v>
      </c>
      <c r="G11" s="12" t="s">
        <v>117</v>
      </c>
    </row>
    <row r="12" spans="1:7" x14ac:dyDescent="0.3">
      <c r="A12" s="12" t="s">
        <v>444</v>
      </c>
      <c r="B12" s="12" t="s">
        <v>530</v>
      </c>
      <c r="C12" s="12" t="s">
        <v>531</v>
      </c>
      <c r="D12" s="12" t="s">
        <v>506</v>
      </c>
      <c r="E12" s="12" t="s">
        <v>532</v>
      </c>
      <c r="F12" s="12" t="s">
        <v>533</v>
      </c>
      <c r="G12" s="12" t="s">
        <v>534</v>
      </c>
    </row>
    <row r="13" spans="1:7" x14ac:dyDescent="0.3">
      <c r="A13" s="12" t="s">
        <v>444</v>
      </c>
      <c r="B13" s="12" t="s">
        <v>535</v>
      </c>
      <c r="C13" s="12" t="s">
        <v>536</v>
      </c>
      <c r="D13" s="12" t="s">
        <v>506</v>
      </c>
      <c r="E13" s="12" t="s">
        <v>537</v>
      </c>
      <c r="F13" s="12" t="s">
        <v>538</v>
      </c>
      <c r="G13" s="12" t="s">
        <v>539</v>
      </c>
    </row>
    <row r="14" spans="1:7" x14ac:dyDescent="0.3">
      <c r="A14" s="12" t="s">
        <v>540</v>
      </c>
      <c r="B14" s="12" t="s">
        <v>541</v>
      </c>
      <c r="C14" s="12" t="s">
        <v>542</v>
      </c>
      <c r="D14" s="12" t="s">
        <v>500</v>
      </c>
      <c r="E14" s="12" t="s">
        <v>543</v>
      </c>
      <c r="F14" s="12" t="s">
        <v>502</v>
      </c>
      <c r="G14" s="12" t="s">
        <v>544</v>
      </c>
    </row>
    <row r="15" spans="1:7" x14ac:dyDescent="0.3">
      <c r="A15" s="12" t="s">
        <v>540</v>
      </c>
      <c r="B15" s="12" t="s">
        <v>545</v>
      </c>
      <c r="C15" s="12" t="s">
        <v>546</v>
      </c>
      <c r="D15" s="12" t="s">
        <v>506</v>
      </c>
      <c r="E15" s="12" t="s">
        <v>547</v>
      </c>
      <c r="F15" s="12" t="s">
        <v>548</v>
      </c>
      <c r="G15" s="12" t="s">
        <v>182</v>
      </c>
    </row>
    <row r="16" spans="1:7" x14ac:dyDescent="0.3">
      <c r="A16" s="12" t="s">
        <v>549</v>
      </c>
      <c r="B16" s="12" t="s">
        <v>550</v>
      </c>
      <c r="C16" s="12" t="s">
        <v>551</v>
      </c>
      <c r="D16" s="12" t="s">
        <v>500</v>
      </c>
      <c r="E16" s="12" t="s">
        <v>552</v>
      </c>
      <c r="F16" s="12" t="s">
        <v>502</v>
      </c>
      <c r="G16" s="12" t="s">
        <v>217</v>
      </c>
    </row>
    <row r="17" spans="1:7" x14ac:dyDescent="0.3">
      <c r="A17" s="12" t="s">
        <v>549</v>
      </c>
      <c r="B17" s="12" t="s">
        <v>553</v>
      </c>
      <c r="C17" s="12" t="s">
        <v>554</v>
      </c>
      <c r="D17" s="12" t="s">
        <v>506</v>
      </c>
      <c r="E17" s="12" t="s">
        <v>132</v>
      </c>
      <c r="F17" s="12" t="s">
        <v>555</v>
      </c>
      <c r="G17" s="12" t="s">
        <v>260</v>
      </c>
    </row>
    <row r="18" spans="1:7" x14ac:dyDescent="0.3">
      <c r="A18" s="12" t="s">
        <v>556</v>
      </c>
      <c r="B18" s="12" t="s">
        <v>557</v>
      </c>
      <c r="C18" s="12" t="s">
        <v>558</v>
      </c>
      <c r="D18" s="12" t="s">
        <v>500</v>
      </c>
      <c r="E18" s="12" t="s">
        <v>559</v>
      </c>
      <c r="F18" s="12" t="s">
        <v>502</v>
      </c>
      <c r="G18" s="12" t="s">
        <v>560</v>
      </c>
    </row>
    <row r="19" spans="1:7" x14ac:dyDescent="0.3">
      <c r="A19" s="12" t="s">
        <v>556</v>
      </c>
      <c r="B19" s="12" t="s">
        <v>561</v>
      </c>
      <c r="C19" s="12" t="s">
        <v>562</v>
      </c>
      <c r="D19" s="12" t="s">
        <v>506</v>
      </c>
      <c r="E19" s="12" t="s">
        <v>563</v>
      </c>
      <c r="F19" s="12" t="s">
        <v>564</v>
      </c>
      <c r="G19" s="12" t="s">
        <v>565</v>
      </c>
    </row>
    <row r="20" spans="1:7" x14ac:dyDescent="0.3">
      <c r="A20" s="12" t="s">
        <v>566</v>
      </c>
      <c r="B20" s="12" t="s">
        <v>567</v>
      </c>
      <c r="C20" s="12" t="s">
        <v>568</v>
      </c>
      <c r="D20" s="12" t="s">
        <v>500</v>
      </c>
      <c r="E20" s="12" t="s">
        <v>569</v>
      </c>
      <c r="F20" s="12" t="s">
        <v>570</v>
      </c>
      <c r="G20" s="12" t="s">
        <v>282</v>
      </c>
    </row>
    <row r="21" spans="1:7" x14ac:dyDescent="0.3">
      <c r="A21" s="12" t="s">
        <v>566</v>
      </c>
      <c r="B21" s="12" t="s">
        <v>571</v>
      </c>
      <c r="C21" s="12" t="s">
        <v>572</v>
      </c>
      <c r="D21" s="12" t="s">
        <v>500</v>
      </c>
      <c r="E21" s="12" t="s">
        <v>573</v>
      </c>
      <c r="F21" s="12" t="s">
        <v>574</v>
      </c>
      <c r="G21" s="12" t="s">
        <v>290</v>
      </c>
    </row>
    <row r="22" spans="1:7" x14ac:dyDescent="0.3">
      <c r="A22" s="12" t="s">
        <v>566</v>
      </c>
      <c r="B22" s="12" t="s">
        <v>575</v>
      </c>
      <c r="C22" s="12" t="s">
        <v>576</v>
      </c>
      <c r="D22" s="12" t="s">
        <v>500</v>
      </c>
      <c r="E22" s="12" t="s">
        <v>577</v>
      </c>
      <c r="F22" s="12" t="s">
        <v>578</v>
      </c>
      <c r="G22" s="12" t="s">
        <v>579</v>
      </c>
    </row>
    <row r="23" spans="1:7" x14ac:dyDescent="0.3">
      <c r="A23" s="12" t="s">
        <v>566</v>
      </c>
      <c r="B23" s="12" t="s">
        <v>580</v>
      </c>
      <c r="C23" s="12" t="s">
        <v>581</v>
      </c>
      <c r="D23" s="12" t="s">
        <v>500</v>
      </c>
      <c r="E23" s="12" t="s">
        <v>582</v>
      </c>
      <c r="F23" s="12" t="s">
        <v>583</v>
      </c>
      <c r="G23" s="12" t="s">
        <v>584</v>
      </c>
    </row>
    <row r="24" spans="1:7" x14ac:dyDescent="0.3">
      <c r="A24" s="12" t="s">
        <v>585</v>
      </c>
      <c r="B24" s="12" t="s">
        <v>586</v>
      </c>
      <c r="C24" s="12" t="s">
        <v>587</v>
      </c>
      <c r="D24" s="12" t="s">
        <v>151</v>
      </c>
      <c r="E24" s="12" t="s">
        <v>501</v>
      </c>
      <c r="F24" s="12" t="s">
        <v>588</v>
      </c>
      <c r="G24" s="12" t="s">
        <v>589</v>
      </c>
    </row>
    <row r="25" spans="1:7" ht="26.4" x14ac:dyDescent="0.3">
      <c r="A25" s="12" t="s">
        <v>585</v>
      </c>
      <c r="B25" s="12" t="s">
        <v>590</v>
      </c>
      <c r="C25" s="12" t="s">
        <v>591</v>
      </c>
      <c r="D25" s="12" t="s">
        <v>151</v>
      </c>
      <c r="E25" s="12" t="s">
        <v>592</v>
      </c>
      <c r="F25" s="12" t="s">
        <v>593</v>
      </c>
      <c r="G25" s="12" t="s">
        <v>594</v>
      </c>
    </row>
    <row r="26" spans="1:7" x14ac:dyDescent="0.3">
      <c r="A26" s="12" t="s">
        <v>585</v>
      </c>
      <c r="B26" s="12" t="s">
        <v>595</v>
      </c>
      <c r="C26" s="12" t="s">
        <v>596</v>
      </c>
      <c r="D26" s="12" t="s">
        <v>151</v>
      </c>
      <c r="E26" s="12" t="s">
        <v>597</v>
      </c>
      <c r="F26" s="12" t="s">
        <v>598</v>
      </c>
      <c r="G26" s="12" t="s">
        <v>599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zoomScale="90" zoomScaleNormal="9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14" customWidth="1"/>
    <col min="3" max="3" width="30" customWidth="1"/>
    <col min="4" max="4" width="18" customWidth="1"/>
    <col min="5" max="5" width="10" customWidth="1"/>
    <col min="6" max="6" width="9" customWidth="1"/>
    <col min="7" max="7" width="34" customWidth="1"/>
    <col min="8" max="8" width="28" customWidth="1"/>
    <col min="9" max="9" width="30" customWidth="1"/>
    <col min="10" max="11" width="9" customWidth="1"/>
    <col min="12" max="12" width="34" customWidth="1"/>
    <col min="13" max="14" width="9" customWidth="1"/>
    <col min="15" max="15" width="22" customWidth="1"/>
  </cols>
  <sheetData>
    <row r="1" spans="1:15" ht="26.4" x14ac:dyDescent="0.3">
      <c r="A1" s="11" t="s">
        <v>57</v>
      </c>
      <c r="B1" s="11" t="s">
        <v>695</v>
      </c>
      <c r="C1" s="11" t="s">
        <v>696</v>
      </c>
      <c r="D1" s="11" t="s">
        <v>697</v>
      </c>
      <c r="E1" s="11" t="s">
        <v>698</v>
      </c>
      <c r="F1" s="11" t="s">
        <v>556</v>
      </c>
      <c r="G1" s="11" t="s">
        <v>699</v>
      </c>
      <c r="H1" s="11" t="s">
        <v>432</v>
      </c>
      <c r="I1" s="11" t="s">
        <v>700</v>
      </c>
      <c r="J1" s="11" t="s">
        <v>701</v>
      </c>
      <c r="K1" s="11" t="s">
        <v>702</v>
      </c>
      <c r="L1" s="11" t="s">
        <v>703</v>
      </c>
      <c r="M1" s="11" t="s">
        <v>704</v>
      </c>
      <c r="N1" s="11" t="s">
        <v>625</v>
      </c>
      <c r="O1" s="11" t="s">
        <v>705</v>
      </c>
    </row>
    <row r="2" spans="1:15" ht="52.8" x14ac:dyDescent="0.3">
      <c r="A2" s="12" t="s">
        <v>311</v>
      </c>
      <c r="B2" s="12" t="s">
        <v>706</v>
      </c>
      <c r="C2" s="12" t="s">
        <v>707</v>
      </c>
      <c r="D2" s="12" t="s">
        <v>708</v>
      </c>
      <c r="E2" s="12" t="s">
        <v>709</v>
      </c>
      <c r="F2" s="12" t="s">
        <v>709</v>
      </c>
      <c r="G2" s="12" t="s">
        <v>710</v>
      </c>
      <c r="H2" s="12" t="s">
        <v>711</v>
      </c>
      <c r="I2" s="12" t="s">
        <v>712</v>
      </c>
      <c r="J2" s="12" t="s">
        <v>303</v>
      </c>
      <c r="K2" s="12" t="s">
        <v>6</v>
      </c>
      <c r="L2" s="12" t="s">
        <v>713</v>
      </c>
      <c r="M2" s="12" t="s">
        <v>8</v>
      </c>
      <c r="N2" s="12" t="s">
        <v>714</v>
      </c>
      <c r="O2" s="12" t="s">
        <v>715</v>
      </c>
    </row>
    <row r="3" spans="1:15" ht="39.6" x14ac:dyDescent="0.3">
      <c r="A3" s="12" t="s">
        <v>320</v>
      </c>
      <c r="B3" s="12" t="s">
        <v>716</v>
      </c>
      <c r="C3" s="12" t="s">
        <v>717</v>
      </c>
      <c r="D3" s="12" t="s">
        <v>708</v>
      </c>
      <c r="E3" s="12" t="s">
        <v>718</v>
      </c>
      <c r="F3" s="12" t="s">
        <v>718</v>
      </c>
      <c r="G3" s="12" t="s">
        <v>719</v>
      </c>
      <c r="H3" s="12" t="s">
        <v>720</v>
      </c>
      <c r="I3" s="12" t="s">
        <v>721</v>
      </c>
      <c r="J3" s="12" t="s">
        <v>312</v>
      </c>
      <c r="K3" s="12" t="s">
        <v>6</v>
      </c>
      <c r="L3" s="12" t="s">
        <v>722</v>
      </c>
      <c r="M3" s="12" t="s">
        <v>8</v>
      </c>
      <c r="N3" s="12" t="s">
        <v>714</v>
      </c>
      <c r="O3" s="12" t="s">
        <v>723</v>
      </c>
    </row>
    <row r="4" spans="1:15" ht="39.6" x14ac:dyDescent="0.3">
      <c r="A4" s="12" t="s">
        <v>402</v>
      </c>
      <c r="B4" s="12" t="s">
        <v>724</v>
      </c>
      <c r="C4" s="12" t="s">
        <v>725</v>
      </c>
      <c r="D4" s="12" t="s">
        <v>29</v>
      </c>
      <c r="E4" s="12" t="s">
        <v>718</v>
      </c>
      <c r="F4" s="12" t="s">
        <v>559</v>
      </c>
      <c r="G4" s="12" t="s">
        <v>726</v>
      </c>
      <c r="H4" s="12" t="s">
        <v>727</v>
      </c>
      <c r="I4" s="12" t="s">
        <v>728</v>
      </c>
      <c r="J4" s="12" t="s">
        <v>394</v>
      </c>
      <c r="K4" s="12" t="s">
        <v>6</v>
      </c>
      <c r="L4" s="12" t="s">
        <v>729</v>
      </c>
      <c r="M4" s="12" t="s">
        <v>8</v>
      </c>
      <c r="N4" s="12" t="s">
        <v>714</v>
      </c>
      <c r="O4" s="12" t="s">
        <v>730</v>
      </c>
    </row>
    <row r="5" spans="1:15" ht="39.6" x14ac:dyDescent="0.3">
      <c r="A5" s="12" t="s">
        <v>216</v>
      </c>
      <c r="B5" s="12" t="s">
        <v>731</v>
      </c>
      <c r="C5" s="12" t="s">
        <v>732</v>
      </c>
      <c r="D5" s="12" t="s">
        <v>733</v>
      </c>
      <c r="E5" s="12" t="s">
        <v>709</v>
      </c>
      <c r="F5" s="12" t="s">
        <v>709</v>
      </c>
      <c r="G5" s="12" t="s">
        <v>734</v>
      </c>
      <c r="H5" s="12" t="s">
        <v>213</v>
      </c>
      <c r="I5" s="12" t="s">
        <v>735</v>
      </c>
      <c r="J5" s="12" t="s">
        <v>208</v>
      </c>
      <c r="K5" s="12" t="s">
        <v>6</v>
      </c>
      <c r="L5" s="12" t="s">
        <v>736</v>
      </c>
      <c r="M5" s="12" t="s">
        <v>8</v>
      </c>
      <c r="N5" s="12" t="s">
        <v>714</v>
      </c>
      <c r="O5" s="12" t="s">
        <v>737</v>
      </c>
    </row>
  </sheetData>
  <dataValidations count="1">
    <dataValidation type="list" sqref="N2:N50">
      <formula1>"Open,In Progress,Fixed,Closed,Reopened"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zoomScale="90" zoomScaleNormal="90" workbookViewId="0">
      <pane ySplit="1" topLeftCell="A2" activePane="bottomLeft" state="frozen"/>
      <selection pane="bottomLeft" activeCell="B78" sqref="B78"/>
    </sheetView>
  </sheetViews>
  <sheetFormatPr defaultColWidth="8.6640625" defaultRowHeight="14.4" x14ac:dyDescent="0.3"/>
  <cols>
    <col min="1" max="1" width="30" customWidth="1"/>
    <col min="2" max="2" width="70" customWidth="1"/>
    <col min="3" max="3" width="18" customWidth="1"/>
    <col min="4" max="4" width="16" customWidth="1"/>
    <col min="5" max="5" width="9" customWidth="1"/>
  </cols>
  <sheetData>
    <row r="1" spans="1:5" x14ac:dyDescent="0.3">
      <c r="A1" s="11" t="s">
        <v>681</v>
      </c>
      <c r="B1" s="11" t="s">
        <v>738</v>
      </c>
      <c r="C1" s="11" t="s">
        <v>739</v>
      </c>
      <c r="D1" s="11" t="s">
        <v>740</v>
      </c>
      <c r="E1" s="11" t="s">
        <v>741</v>
      </c>
    </row>
    <row r="2" spans="1:5" x14ac:dyDescent="0.3">
      <c r="A2" s="12" t="s">
        <v>742</v>
      </c>
      <c r="B2" s="12" t="s">
        <v>743</v>
      </c>
      <c r="C2" s="12" t="s">
        <v>744</v>
      </c>
      <c r="D2" s="12" t="s">
        <v>745</v>
      </c>
      <c r="E2" s="12" t="s">
        <v>68</v>
      </c>
    </row>
    <row r="3" spans="1:5" x14ac:dyDescent="0.3">
      <c r="A3" s="12" t="s">
        <v>742</v>
      </c>
      <c r="B3" s="12" t="s">
        <v>746</v>
      </c>
      <c r="C3" s="12" t="s">
        <v>744</v>
      </c>
      <c r="D3" s="12" t="s">
        <v>745</v>
      </c>
      <c r="E3" s="12" t="s">
        <v>68</v>
      </c>
    </row>
    <row r="4" spans="1:5" x14ac:dyDescent="0.3">
      <c r="A4" s="12" t="s">
        <v>742</v>
      </c>
      <c r="B4" s="12" t="s">
        <v>747</v>
      </c>
      <c r="C4" s="12" t="s">
        <v>744</v>
      </c>
      <c r="D4" s="12" t="s">
        <v>745</v>
      </c>
      <c r="E4" s="12" t="s">
        <v>68</v>
      </c>
    </row>
    <row r="5" spans="1:5" x14ac:dyDescent="0.3">
      <c r="A5" s="12" t="s">
        <v>742</v>
      </c>
      <c r="B5" s="12" t="s">
        <v>748</v>
      </c>
      <c r="C5" s="12" t="s">
        <v>744</v>
      </c>
      <c r="D5" s="12" t="s">
        <v>745</v>
      </c>
      <c r="E5" s="12" t="s">
        <v>68</v>
      </c>
    </row>
    <row r="6" spans="1:5" x14ac:dyDescent="0.3">
      <c r="A6" s="12" t="s">
        <v>742</v>
      </c>
      <c r="B6" s="12" t="s">
        <v>749</v>
      </c>
      <c r="C6" s="12" t="s">
        <v>744</v>
      </c>
      <c r="D6" s="12" t="s">
        <v>745</v>
      </c>
      <c r="E6" s="12" t="s">
        <v>68</v>
      </c>
    </row>
    <row r="7" spans="1:5" x14ac:dyDescent="0.3">
      <c r="A7" s="12" t="s">
        <v>742</v>
      </c>
      <c r="B7" s="12" t="s">
        <v>750</v>
      </c>
      <c r="C7" s="12" t="s">
        <v>744</v>
      </c>
      <c r="D7" s="12" t="s">
        <v>745</v>
      </c>
      <c r="E7" s="12" t="s">
        <v>68</v>
      </c>
    </row>
    <row r="8" spans="1:5" x14ac:dyDescent="0.3">
      <c r="A8" s="12" t="s">
        <v>742</v>
      </c>
      <c r="B8" s="12" t="s">
        <v>751</v>
      </c>
      <c r="C8" s="12" t="s">
        <v>744</v>
      </c>
      <c r="D8" s="12" t="s">
        <v>745</v>
      </c>
      <c r="E8" s="12" t="s">
        <v>68</v>
      </c>
    </row>
    <row r="9" spans="1:5" x14ac:dyDescent="0.3">
      <c r="A9" s="12" t="s">
        <v>742</v>
      </c>
      <c r="B9" s="12" t="s">
        <v>752</v>
      </c>
      <c r="C9" s="12" t="s">
        <v>744</v>
      </c>
      <c r="D9" s="12" t="s">
        <v>745</v>
      </c>
      <c r="E9" s="12" t="s">
        <v>68</v>
      </c>
    </row>
    <row r="10" spans="1:5" x14ac:dyDescent="0.3">
      <c r="A10" s="12" t="s">
        <v>742</v>
      </c>
      <c r="B10" s="12" t="s">
        <v>753</v>
      </c>
      <c r="C10" s="12" t="s">
        <v>744</v>
      </c>
      <c r="D10" s="12" t="s">
        <v>745</v>
      </c>
      <c r="E10" s="12" t="s">
        <v>68</v>
      </c>
    </row>
    <row r="11" spans="1:5" x14ac:dyDescent="0.3">
      <c r="A11" s="12" t="s">
        <v>742</v>
      </c>
      <c r="B11" s="12" t="s">
        <v>754</v>
      </c>
      <c r="C11" s="12" t="s">
        <v>744</v>
      </c>
      <c r="D11" s="12" t="s">
        <v>745</v>
      </c>
      <c r="E11" s="12" t="s">
        <v>68</v>
      </c>
    </row>
    <row r="12" spans="1:5" x14ac:dyDescent="0.3">
      <c r="A12" s="12" t="s">
        <v>742</v>
      </c>
      <c r="B12" s="12" t="s">
        <v>755</v>
      </c>
      <c r="C12" s="12" t="s">
        <v>744</v>
      </c>
      <c r="D12" s="12" t="s">
        <v>745</v>
      </c>
      <c r="E12" s="12" t="s">
        <v>68</v>
      </c>
    </row>
    <row r="13" spans="1:5" x14ac:dyDescent="0.3">
      <c r="A13" s="12" t="s">
        <v>742</v>
      </c>
      <c r="B13" s="12" t="s">
        <v>756</v>
      </c>
      <c r="C13" s="12" t="s">
        <v>744</v>
      </c>
      <c r="D13" s="12" t="s">
        <v>745</v>
      </c>
      <c r="E13" s="12" t="s">
        <v>68</v>
      </c>
    </row>
    <row r="14" spans="1:5" x14ac:dyDescent="0.3">
      <c r="A14" s="12" t="s">
        <v>742</v>
      </c>
      <c r="B14" s="12" t="s">
        <v>757</v>
      </c>
      <c r="C14" s="12" t="s">
        <v>744</v>
      </c>
      <c r="D14" s="12" t="s">
        <v>745</v>
      </c>
      <c r="E14" s="12" t="s">
        <v>68</v>
      </c>
    </row>
    <row r="15" spans="1:5" x14ac:dyDescent="0.3">
      <c r="A15" s="12" t="s">
        <v>742</v>
      </c>
      <c r="B15" s="12" t="s">
        <v>758</v>
      </c>
      <c r="C15" s="12" t="s">
        <v>744</v>
      </c>
      <c r="D15" s="12" t="s">
        <v>745</v>
      </c>
      <c r="E15" s="12" t="s">
        <v>68</v>
      </c>
    </row>
    <row r="16" spans="1:5" x14ac:dyDescent="0.3">
      <c r="A16" s="12" t="s">
        <v>742</v>
      </c>
      <c r="B16" s="12" t="s">
        <v>759</v>
      </c>
      <c r="C16" s="12" t="s">
        <v>744</v>
      </c>
      <c r="D16" s="12" t="s">
        <v>745</v>
      </c>
      <c r="E16" s="12" t="s">
        <v>68</v>
      </c>
    </row>
    <row r="17" spans="1:5" x14ac:dyDescent="0.3">
      <c r="A17" s="12" t="s">
        <v>742</v>
      </c>
      <c r="B17" s="12" t="s">
        <v>760</v>
      </c>
      <c r="C17" s="12" t="s">
        <v>744</v>
      </c>
      <c r="D17" s="12" t="s">
        <v>745</v>
      </c>
      <c r="E17" s="12" t="s">
        <v>68</v>
      </c>
    </row>
    <row r="18" spans="1:5" x14ac:dyDescent="0.3">
      <c r="A18" s="12" t="s">
        <v>742</v>
      </c>
      <c r="B18" s="12" t="s">
        <v>761</v>
      </c>
      <c r="C18" s="12" t="s">
        <v>744</v>
      </c>
      <c r="D18" s="12" t="s">
        <v>745</v>
      </c>
      <c r="E18" s="12" t="s">
        <v>68</v>
      </c>
    </row>
    <row r="19" spans="1:5" x14ac:dyDescent="0.3">
      <c r="A19" s="12" t="s">
        <v>742</v>
      </c>
      <c r="B19" s="12" t="s">
        <v>762</v>
      </c>
      <c r="C19" s="12" t="s">
        <v>744</v>
      </c>
      <c r="D19" s="12" t="s">
        <v>745</v>
      </c>
      <c r="E19" s="12" t="s">
        <v>68</v>
      </c>
    </row>
    <row r="20" spans="1:5" x14ac:dyDescent="0.3">
      <c r="A20" s="12" t="s">
        <v>742</v>
      </c>
      <c r="B20" s="12" t="s">
        <v>763</v>
      </c>
      <c r="C20" s="12" t="s">
        <v>744</v>
      </c>
      <c r="D20" s="12" t="s">
        <v>745</v>
      </c>
      <c r="E20" s="12" t="s">
        <v>68</v>
      </c>
    </row>
    <row r="21" spans="1:5" x14ac:dyDescent="0.3">
      <c r="A21" s="12" t="s">
        <v>742</v>
      </c>
      <c r="B21" s="12" t="s">
        <v>764</v>
      </c>
      <c r="C21" s="12" t="s">
        <v>744</v>
      </c>
      <c r="D21" s="12" t="s">
        <v>745</v>
      </c>
      <c r="E21" s="12" t="s">
        <v>68</v>
      </c>
    </row>
    <row r="22" spans="1:5" x14ac:dyDescent="0.3">
      <c r="A22" s="12" t="s">
        <v>742</v>
      </c>
      <c r="B22" s="12" t="s">
        <v>765</v>
      </c>
      <c r="C22" s="12" t="s">
        <v>744</v>
      </c>
      <c r="D22" s="12" t="s">
        <v>745</v>
      </c>
      <c r="E22" s="12" t="s">
        <v>68</v>
      </c>
    </row>
    <row r="23" spans="1:5" x14ac:dyDescent="0.3">
      <c r="A23" s="12" t="s">
        <v>742</v>
      </c>
      <c r="B23" s="12" t="s">
        <v>766</v>
      </c>
      <c r="C23" s="12" t="s">
        <v>744</v>
      </c>
      <c r="D23" s="12" t="s">
        <v>745</v>
      </c>
      <c r="E23" s="12" t="s">
        <v>68</v>
      </c>
    </row>
    <row r="24" spans="1:5" x14ac:dyDescent="0.3">
      <c r="A24" s="12" t="s">
        <v>742</v>
      </c>
      <c r="B24" s="12" t="s">
        <v>767</v>
      </c>
      <c r="C24" s="12" t="s">
        <v>744</v>
      </c>
      <c r="D24" s="12" t="s">
        <v>745</v>
      </c>
      <c r="E24" s="12" t="s">
        <v>68</v>
      </c>
    </row>
    <row r="25" spans="1:5" x14ac:dyDescent="0.3">
      <c r="A25" s="12" t="s">
        <v>742</v>
      </c>
      <c r="B25" s="12" t="s">
        <v>768</v>
      </c>
      <c r="C25" s="12" t="s">
        <v>744</v>
      </c>
      <c r="D25" s="12" t="s">
        <v>745</v>
      </c>
      <c r="E25" s="12" t="s">
        <v>68</v>
      </c>
    </row>
    <row r="26" spans="1:5" x14ac:dyDescent="0.3">
      <c r="A26" s="12" t="s">
        <v>742</v>
      </c>
      <c r="B26" s="12" t="s">
        <v>769</v>
      </c>
      <c r="C26" s="12" t="s">
        <v>744</v>
      </c>
      <c r="D26" s="12" t="s">
        <v>745</v>
      </c>
      <c r="E26" s="12" t="s">
        <v>68</v>
      </c>
    </row>
    <row r="27" spans="1:5" x14ac:dyDescent="0.3">
      <c r="A27" s="12" t="s">
        <v>742</v>
      </c>
      <c r="B27" s="12" t="s">
        <v>770</v>
      </c>
      <c r="C27" s="12" t="s">
        <v>744</v>
      </c>
      <c r="D27" s="12" t="s">
        <v>745</v>
      </c>
      <c r="E27" s="12" t="s">
        <v>68</v>
      </c>
    </row>
    <row r="28" spans="1:5" x14ac:dyDescent="0.3">
      <c r="A28" s="12" t="s">
        <v>742</v>
      </c>
      <c r="B28" s="12" t="s">
        <v>771</v>
      </c>
      <c r="C28" s="12" t="s">
        <v>744</v>
      </c>
      <c r="D28" s="12" t="s">
        <v>745</v>
      </c>
      <c r="E28" s="12" t="s">
        <v>68</v>
      </c>
    </row>
    <row r="29" spans="1:5" x14ac:dyDescent="0.3">
      <c r="A29" s="12" t="s">
        <v>742</v>
      </c>
      <c r="B29" s="12" t="s">
        <v>772</v>
      </c>
      <c r="C29" s="12" t="s">
        <v>744</v>
      </c>
      <c r="D29" s="12" t="s">
        <v>745</v>
      </c>
      <c r="E29" s="12" t="s">
        <v>68</v>
      </c>
    </row>
    <row r="30" spans="1:5" x14ac:dyDescent="0.3">
      <c r="A30" s="12" t="s">
        <v>742</v>
      </c>
      <c r="B30" s="12" t="s">
        <v>773</v>
      </c>
      <c r="C30" s="12" t="s">
        <v>744</v>
      </c>
      <c r="D30" s="12" t="s">
        <v>745</v>
      </c>
      <c r="E30" s="12" t="s">
        <v>68</v>
      </c>
    </row>
    <row r="31" spans="1:5" x14ac:dyDescent="0.3">
      <c r="A31" s="12" t="s">
        <v>742</v>
      </c>
      <c r="B31" s="12" t="s">
        <v>774</v>
      </c>
      <c r="C31" s="12" t="s">
        <v>744</v>
      </c>
      <c r="D31" s="12" t="s">
        <v>745</v>
      </c>
      <c r="E31" s="12" t="s">
        <v>68</v>
      </c>
    </row>
    <row r="32" spans="1:5" x14ac:dyDescent="0.3">
      <c r="A32" s="12" t="s">
        <v>742</v>
      </c>
      <c r="B32" s="12" t="s">
        <v>775</v>
      </c>
      <c r="C32" s="12" t="s">
        <v>744</v>
      </c>
      <c r="D32" s="12" t="s">
        <v>745</v>
      </c>
      <c r="E32" s="12" t="s">
        <v>68</v>
      </c>
    </row>
    <row r="33" spans="1:5" x14ac:dyDescent="0.3">
      <c r="A33" s="12" t="s">
        <v>742</v>
      </c>
      <c r="B33" s="12" t="s">
        <v>776</v>
      </c>
      <c r="C33" s="12" t="s">
        <v>744</v>
      </c>
      <c r="D33" s="12" t="s">
        <v>745</v>
      </c>
      <c r="E33" s="12" t="s">
        <v>68</v>
      </c>
    </row>
    <row r="34" spans="1:5" x14ac:dyDescent="0.3">
      <c r="A34" s="12" t="s">
        <v>742</v>
      </c>
      <c r="B34" s="12" t="s">
        <v>777</v>
      </c>
      <c r="C34" s="12" t="s">
        <v>744</v>
      </c>
      <c r="D34" s="12" t="s">
        <v>745</v>
      </c>
      <c r="E34" s="12" t="s">
        <v>68</v>
      </c>
    </row>
    <row r="35" spans="1:5" x14ac:dyDescent="0.3">
      <c r="A35" s="12" t="s">
        <v>742</v>
      </c>
      <c r="B35" s="12" t="s">
        <v>778</v>
      </c>
      <c r="C35" s="12" t="s">
        <v>744</v>
      </c>
      <c r="D35" s="12" t="s">
        <v>745</v>
      </c>
      <c r="E35" s="12" t="s">
        <v>68</v>
      </c>
    </row>
    <row r="36" spans="1:5" x14ac:dyDescent="0.3">
      <c r="A36" s="12" t="s">
        <v>742</v>
      </c>
      <c r="B36" s="12" t="s">
        <v>779</v>
      </c>
      <c r="C36" s="12" t="s">
        <v>744</v>
      </c>
      <c r="D36" s="12" t="s">
        <v>745</v>
      </c>
      <c r="E36" s="12" t="s">
        <v>68</v>
      </c>
    </row>
    <row r="37" spans="1:5" x14ac:dyDescent="0.3">
      <c r="A37" s="12" t="s">
        <v>742</v>
      </c>
      <c r="B37" s="12" t="s">
        <v>780</v>
      </c>
      <c r="C37" s="12" t="s">
        <v>744</v>
      </c>
      <c r="D37" s="12" t="s">
        <v>745</v>
      </c>
      <c r="E37" s="12" t="s">
        <v>68</v>
      </c>
    </row>
    <row r="38" spans="1:5" x14ac:dyDescent="0.3">
      <c r="A38" s="12" t="s">
        <v>742</v>
      </c>
      <c r="B38" s="12" t="s">
        <v>781</v>
      </c>
      <c r="C38" s="12" t="s">
        <v>744</v>
      </c>
      <c r="D38" s="12" t="s">
        <v>745</v>
      </c>
      <c r="E38" s="12" t="s">
        <v>68</v>
      </c>
    </row>
    <row r="39" spans="1:5" x14ac:dyDescent="0.3">
      <c r="A39" s="12" t="s">
        <v>742</v>
      </c>
      <c r="B39" s="12" t="s">
        <v>782</v>
      </c>
      <c r="C39" s="12" t="s">
        <v>744</v>
      </c>
      <c r="D39" s="12" t="s">
        <v>745</v>
      </c>
      <c r="E39" s="12" t="s">
        <v>68</v>
      </c>
    </row>
    <row r="40" spans="1:5" x14ac:dyDescent="0.3">
      <c r="A40" s="12" t="s">
        <v>742</v>
      </c>
      <c r="B40" s="12" t="s">
        <v>783</v>
      </c>
      <c r="C40" s="12" t="s">
        <v>744</v>
      </c>
      <c r="D40" s="12" t="s">
        <v>745</v>
      </c>
      <c r="E40" s="12" t="s">
        <v>68</v>
      </c>
    </row>
    <row r="41" spans="1:5" x14ac:dyDescent="0.3">
      <c r="A41" s="12" t="s">
        <v>784</v>
      </c>
      <c r="B41" s="12" t="s">
        <v>785</v>
      </c>
      <c r="C41" s="12" t="s">
        <v>786</v>
      </c>
      <c r="D41" s="12" t="s">
        <v>787</v>
      </c>
      <c r="E41" s="12" t="s">
        <v>68</v>
      </c>
    </row>
    <row r="42" spans="1:5" x14ac:dyDescent="0.3">
      <c r="A42" s="12" t="s">
        <v>784</v>
      </c>
      <c r="B42" s="12" t="s">
        <v>788</v>
      </c>
      <c r="C42" s="12" t="s">
        <v>786</v>
      </c>
      <c r="D42" s="12" t="s">
        <v>787</v>
      </c>
      <c r="E42" s="12" t="s">
        <v>68</v>
      </c>
    </row>
    <row r="43" spans="1:5" x14ac:dyDescent="0.3">
      <c r="A43" s="12" t="s">
        <v>784</v>
      </c>
      <c r="B43" s="12" t="s">
        <v>789</v>
      </c>
      <c r="C43" s="12" t="s">
        <v>786</v>
      </c>
      <c r="D43" s="12" t="s">
        <v>787</v>
      </c>
      <c r="E43" s="12" t="s">
        <v>68</v>
      </c>
    </row>
    <row r="44" spans="1:5" x14ac:dyDescent="0.3">
      <c r="A44" s="12" t="s">
        <v>784</v>
      </c>
      <c r="B44" s="12" t="s">
        <v>790</v>
      </c>
      <c r="C44" s="12" t="s">
        <v>786</v>
      </c>
      <c r="D44" s="12" t="s">
        <v>787</v>
      </c>
      <c r="E44" s="12" t="s">
        <v>68</v>
      </c>
    </row>
    <row r="45" spans="1:5" x14ac:dyDescent="0.3">
      <c r="A45" s="12" t="s">
        <v>784</v>
      </c>
      <c r="B45" s="12" t="s">
        <v>791</v>
      </c>
      <c r="C45" s="12" t="s">
        <v>786</v>
      </c>
      <c r="D45" s="12" t="s">
        <v>787</v>
      </c>
      <c r="E45" s="12" t="s">
        <v>68</v>
      </c>
    </row>
    <row r="46" spans="1:5" x14ac:dyDescent="0.3">
      <c r="A46" s="12" t="s">
        <v>784</v>
      </c>
      <c r="B46" s="12" t="s">
        <v>792</v>
      </c>
      <c r="C46" s="12" t="s">
        <v>786</v>
      </c>
      <c r="D46" s="12" t="s">
        <v>787</v>
      </c>
      <c r="E46" s="12" t="s">
        <v>68</v>
      </c>
    </row>
    <row r="47" spans="1:5" x14ac:dyDescent="0.3">
      <c r="A47" s="12" t="s">
        <v>784</v>
      </c>
      <c r="B47" s="12" t="s">
        <v>793</v>
      </c>
      <c r="C47" s="12" t="s">
        <v>786</v>
      </c>
      <c r="D47" s="12" t="s">
        <v>787</v>
      </c>
      <c r="E47" s="12" t="s">
        <v>68</v>
      </c>
    </row>
    <row r="48" spans="1:5" x14ac:dyDescent="0.3">
      <c r="A48" s="12" t="s">
        <v>784</v>
      </c>
      <c r="B48" s="12" t="s">
        <v>794</v>
      </c>
      <c r="C48" s="12" t="s">
        <v>786</v>
      </c>
      <c r="D48" s="12" t="s">
        <v>787</v>
      </c>
      <c r="E48" s="12" t="s">
        <v>68</v>
      </c>
    </row>
    <row r="49" spans="1:5" x14ac:dyDescent="0.3">
      <c r="A49" s="12" t="s">
        <v>795</v>
      </c>
      <c r="B49" s="12" t="s">
        <v>630</v>
      </c>
      <c r="C49" s="12" t="s">
        <v>796</v>
      </c>
      <c r="D49" s="12" t="s">
        <v>797</v>
      </c>
      <c r="E49" s="12" t="s">
        <v>68</v>
      </c>
    </row>
    <row r="50" spans="1:5" x14ac:dyDescent="0.3">
      <c r="A50" s="12" t="s">
        <v>795</v>
      </c>
      <c r="B50" s="12" t="s">
        <v>798</v>
      </c>
      <c r="C50" s="12" t="s">
        <v>796</v>
      </c>
      <c r="D50" s="12" t="s">
        <v>797</v>
      </c>
      <c r="E50" s="12" t="s">
        <v>68</v>
      </c>
    </row>
    <row r="51" spans="1:5" x14ac:dyDescent="0.3">
      <c r="A51" s="12" t="s">
        <v>795</v>
      </c>
      <c r="B51" s="12" t="s">
        <v>799</v>
      </c>
      <c r="C51" s="12" t="s">
        <v>796</v>
      </c>
      <c r="D51" s="12" t="s">
        <v>797</v>
      </c>
      <c r="E51" s="12" t="s">
        <v>68</v>
      </c>
    </row>
    <row r="52" spans="1:5" ht="26.4" x14ac:dyDescent="0.3">
      <c r="A52" s="12" t="s">
        <v>795</v>
      </c>
      <c r="B52" s="12" t="s">
        <v>800</v>
      </c>
      <c r="C52" s="12" t="s">
        <v>796</v>
      </c>
      <c r="D52" s="12" t="s">
        <v>797</v>
      </c>
      <c r="E52" s="12" t="s">
        <v>68</v>
      </c>
    </row>
    <row r="53" spans="1:5" x14ac:dyDescent="0.3">
      <c r="A53" s="12" t="s">
        <v>795</v>
      </c>
      <c r="B53" s="12" t="s">
        <v>801</v>
      </c>
      <c r="C53" s="12" t="s">
        <v>796</v>
      </c>
      <c r="D53" s="12" t="s">
        <v>797</v>
      </c>
      <c r="E53" s="12" t="s">
        <v>68</v>
      </c>
    </row>
    <row r="54" spans="1:5" x14ac:dyDescent="0.3">
      <c r="A54" s="12" t="s">
        <v>795</v>
      </c>
      <c r="B54" s="12" t="s">
        <v>802</v>
      </c>
      <c r="C54" s="12" t="s">
        <v>796</v>
      </c>
      <c r="D54" s="12" t="s">
        <v>797</v>
      </c>
      <c r="E54" s="12" t="s">
        <v>68</v>
      </c>
    </row>
    <row r="55" spans="1:5" x14ac:dyDescent="0.3">
      <c r="A55" s="12" t="s">
        <v>795</v>
      </c>
      <c r="B55" s="12" t="s">
        <v>650</v>
      </c>
      <c r="C55" s="12" t="s">
        <v>796</v>
      </c>
      <c r="D55" s="12" t="s">
        <v>797</v>
      </c>
      <c r="E55" s="12" t="s">
        <v>68</v>
      </c>
    </row>
    <row r="56" spans="1:5" x14ac:dyDescent="0.3">
      <c r="A56" s="12" t="s">
        <v>795</v>
      </c>
      <c r="B56" s="12" t="s">
        <v>803</v>
      </c>
      <c r="C56" s="12" t="s">
        <v>796</v>
      </c>
      <c r="D56" s="12" t="s">
        <v>797</v>
      </c>
      <c r="E56" s="12" t="s">
        <v>68</v>
      </c>
    </row>
    <row r="57" spans="1:5" x14ac:dyDescent="0.3">
      <c r="A57" s="12" t="s">
        <v>795</v>
      </c>
      <c r="B57" s="12" t="s">
        <v>804</v>
      </c>
      <c r="C57" s="12" t="s">
        <v>796</v>
      </c>
      <c r="D57" s="12" t="s">
        <v>797</v>
      </c>
      <c r="E57" s="12" t="s">
        <v>68</v>
      </c>
    </row>
    <row r="58" spans="1:5" x14ac:dyDescent="0.3">
      <c r="A58" s="12" t="s">
        <v>795</v>
      </c>
      <c r="B58" s="12" t="s">
        <v>805</v>
      </c>
      <c r="C58" s="12" t="s">
        <v>796</v>
      </c>
      <c r="D58" s="12" t="s">
        <v>797</v>
      </c>
      <c r="E58" s="12" t="s">
        <v>68</v>
      </c>
    </row>
    <row r="59" spans="1:5" x14ac:dyDescent="0.3">
      <c r="A59" s="12" t="s">
        <v>795</v>
      </c>
      <c r="B59" s="12" t="s">
        <v>806</v>
      </c>
      <c r="C59" s="12" t="s">
        <v>796</v>
      </c>
      <c r="D59" s="12" t="s">
        <v>797</v>
      </c>
      <c r="E59" s="12" t="s">
        <v>68</v>
      </c>
    </row>
    <row r="60" spans="1:5" x14ac:dyDescent="0.3">
      <c r="A60" s="12" t="s">
        <v>795</v>
      </c>
      <c r="B60" s="12" t="s">
        <v>807</v>
      </c>
      <c r="C60" s="12" t="s">
        <v>796</v>
      </c>
      <c r="D60" s="12" t="s">
        <v>797</v>
      </c>
      <c r="E60" s="12" t="s">
        <v>68</v>
      </c>
    </row>
    <row r="61" spans="1:5" x14ac:dyDescent="0.3">
      <c r="A61" s="12" t="s">
        <v>795</v>
      </c>
      <c r="B61" s="12" t="s">
        <v>808</v>
      </c>
      <c r="C61" s="12" t="s">
        <v>796</v>
      </c>
      <c r="D61" s="12" t="s">
        <v>797</v>
      </c>
      <c r="E61" s="12" t="s">
        <v>68</v>
      </c>
    </row>
    <row r="62" spans="1:5" x14ac:dyDescent="0.3">
      <c r="A62" s="12" t="s">
        <v>795</v>
      </c>
      <c r="B62" s="12" t="s">
        <v>809</v>
      </c>
      <c r="C62" s="12" t="s">
        <v>796</v>
      </c>
      <c r="D62" s="12" t="s">
        <v>797</v>
      </c>
      <c r="E62" s="12" t="s">
        <v>68</v>
      </c>
    </row>
    <row r="63" spans="1:5" x14ac:dyDescent="0.3">
      <c r="A63" s="12" t="s">
        <v>795</v>
      </c>
      <c r="B63" s="12" t="s">
        <v>810</v>
      </c>
      <c r="C63" s="12" t="s">
        <v>796</v>
      </c>
      <c r="D63" s="12" t="s">
        <v>797</v>
      </c>
      <c r="E63" s="12" t="s">
        <v>68</v>
      </c>
    </row>
    <row r="64" spans="1:5" x14ac:dyDescent="0.3">
      <c r="A64" s="12" t="s">
        <v>795</v>
      </c>
      <c r="B64" s="12" t="s">
        <v>811</v>
      </c>
      <c r="C64" s="12" t="s">
        <v>796</v>
      </c>
      <c r="D64" s="12" t="s">
        <v>797</v>
      </c>
      <c r="E64" s="12" t="s">
        <v>68</v>
      </c>
    </row>
    <row r="65" spans="1:5" x14ac:dyDescent="0.3">
      <c r="A65" s="12" t="s">
        <v>795</v>
      </c>
      <c r="B65" s="12" t="s">
        <v>812</v>
      </c>
      <c r="C65" s="12" t="s">
        <v>796</v>
      </c>
      <c r="D65" s="12" t="s">
        <v>797</v>
      </c>
      <c r="E65" s="12" t="s">
        <v>68</v>
      </c>
    </row>
    <row r="66" spans="1:5" x14ac:dyDescent="0.3">
      <c r="A66" s="12" t="s">
        <v>795</v>
      </c>
      <c r="B66" s="12" t="s">
        <v>813</v>
      </c>
      <c r="C66" s="12" t="s">
        <v>796</v>
      </c>
      <c r="D66" s="12" t="s">
        <v>797</v>
      </c>
      <c r="E66" s="12" t="s">
        <v>68</v>
      </c>
    </row>
    <row r="67" spans="1:5" x14ac:dyDescent="0.3">
      <c r="A67" s="12" t="s">
        <v>795</v>
      </c>
      <c r="B67" s="12" t="s">
        <v>814</v>
      </c>
      <c r="C67" s="12" t="s">
        <v>796</v>
      </c>
      <c r="D67" s="12" t="s">
        <v>797</v>
      </c>
      <c r="E67" s="12" t="s">
        <v>68</v>
      </c>
    </row>
    <row r="68" spans="1:5" x14ac:dyDescent="0.3">
      <c r="A68" s="12" t="s">
        <v>795</v>
      </c>
      <c r="B68" s="12" t="s">
        <v>815</v>
      </c>
      <c r="C68" s="12" t="s">
        <v>796</v>
      </c>
      <c r="D68" s="12" t="s">
        <v>797</v>
      </c>
      <c r="E68" s="12" t="s">
        <v>68</v>
      </c>
    </row>
    <row r="69" spans="1:5" x14ac:dyDescent="0.3">
      <c r="A69" s="12" t="s">
        <v>795</v>
      </c>
      <c r="B69" s="12" t="s">
        <v>816</v>
      </c>
      <c r="C69" s="12" t="s">
        <v>796</v>
      </c>
      <c r="D69" s="12" t="s">
        <v>797</v>
      </c>
      <c r="E69" s="12" t="s">
        <v>68</v>
      </c>
    </row>
    <row r="70" spans="1:5" x14ac:dyDescent="0.3">
      <c r="A70" s="12" t="s">
        <v>795</v>
      </c>
      <c r="B70" s="12" t="s">
        <v>817</v>
      </c>
      <c r="C70" s="12" t="s">
        <v>796</v>
      </c>
      <c r="D70" s="12" t="s">
        <v>797</v>
      </c>
      <c r="E70" s="12" t="s">
        <v>68</v>
      </c>
    </row>
    <row r="71" spans="1:5" x14ac:dyDescent="0.3">
      <c r="A71" s="12" t="s">
        <v>795</v>
      </c>
      <c r="B71" s="12" t="s">
        <v>818</v>
      </c>
      <c r="C71" s="12" t="s">
        <v>796</v>
      </c>
      <c r="D71" s="12" t="s">
        <v>797</v>
      </c>
      <c r="E71" s="12" t="s">
        <v>68</v>
      </c>
    </row>
    <row r="72" spans="1:5" x14ac:dyDescent="0.3">
      <c r="A72" s="12" t="s">
        <v>795</v>
      </c>
      <c r="B72" s="12" t="s">
        <v>819</v>
      </c>
      <c r="C72" s="12" t="s">
        <v>796</v>
      </c>
      <c r="D72" s="12" t="s">
        <v>797</v>
      </c>
      <c r="E72" s="12" t="s">
        <v>68</v>
      </c>
    </row>
    <row r="73" spans="1:5" x14ac:dyDescent="0.3">
      <c r="A73" s="12" t="s">
        <v>795</v>
      </c>
      <c r="B73" s="12" t="s">
        <v>820</v>
      </c>
      <c r="C73" s="12" t="s">
        <v>796</v>
      </c>
      <c r="D73" s="12" t="s">
        <v>797</v>
      </c>
      <c r="E73" s="12" t="s">
        <v>68</v>
      </c>
    </row>
    <row r="74" spans="1:5" x14ac:dyDescent="0.3">
      <c r="A74" s="12" t="s">
        <v>795</v>
      </c>
      <c r="B74" s="12" t="s">
        <v>821</v>
      </c>
      <c r="C74" s="12" t="s">
        <v>796</v>
      </c>
      <c r="D74" s="12" t="s">
        <v>797</v>
      </c>
      <c r="E74" s="12" t="s">
        <v>68</v>
      </c>
    </row>
    <row r="75" spans="1:5" x14ac:dyDescent="0.3">
      <c r="A75" s="12" t="s">
        <v>795</v>
      </c>
      <c r="B75" s="12" t="s">
        <v>822</v>
      </c>
      <c r="C75" s="12" t="s">
        <v>796</v>
      </c>
      <c r="D75" s="12" t="s">
        <v>797</v>
      </c>
      <c r="E75" s="12" t="s">
        <v>68</v>
      </c>
    </row>
    <row r="76" spans="1:5" x14ac:dyDescent="0.3">
      <c r="A76" s="12" t="s">
        <v>795</v>
      </c>
      <c r="B76" s="12" t="s">
        <v>823</v>
      </c>
      <c r="C76" s="12" t="s">
        <v>796</v>
      </c>
      <c r="D76" s="12" t="s">
        <v>797</v>
      </c>
      <c r="E76" s="12" t="s">
        <v>68</v>
      </c>
    </row>
    <row r="77" spans="1:5" x14ac:dyDescent="0.3">
      <c r="A77" s="12" t="s">
        <v>795</v>
      </c>
      <c r="B77" s="12" t="s">
        <v>824</v>
      </c>
      <c r="C77" s="12" t="s">
        <v>796</v>
      </c>
      <c r="D77" s="12" t="s">
        <v>797</v>
      </c>
      <c r="E77" s="12" t="s">
        <v>68</v>
      </c>
    </row>
    <row r="78" spans="1:5" ht="26.4" x14ac:dyDescent="0.3">
      <c r="A78" s="12" t="s">
        <v>795</v>
      </c>
      <c r="B78" s="12" t="s">
        <v>825</v>
      </c>
      <c r="C78" s="12" t="s">
        <v>796</v>
      </c>
      <c r="D78" s="12" t="s">
        <v>797</v>
      </c>
      <c r="E78" s="12" t="s">
        <v>68</v>
      </c>
    </row>
    <row r="79" spans="1:5" ht="26.4" x14ac:dyDescent="0.3">
      <c r="A79" s="12" t="s">
        <v>795</v>
      </c>
      <c r="B79" s="12" t="s">
        <v>826</v>
      </c>
      <c r="C79" s="12" t="s">
        <v>796</v>
      </c>
      <c r="D79" s="12" t="s">
        <v>797</v>
      </c>
      <c r="E79" s="12" t="s">
        <v>68</v>
      </c>
    </row>
    <row r="80" spans="1:5" x14ac:dyDescent="0.3">
      <c r="A80" s="12" t="s">
        <v>795</v>
      </c>
      <c r="B80" s="12" t="s">
        <v>827</v>
      </c>
      <c r="C80" s="12" t="s">
        <v>796</v>
      </c>
      <c r="D80" s="12" t="s">
        <v>797</v>
      </c>
      <c r="E80" s="12" t="s">
        <v>68</v>
      </c>
    </row>
    <row r="81" spans="1:5" x14ac:dyDescent="0.3">
      <c r="A81" s="12" t="s">
        <v>795</v>
      </c>
      <c r="B81" s="12" t="s">
        <v>828</v>
      </c>
      <c r="C81" s="12" t="s">
        <v>796</v>
      </c>
      <c r="D81" s="12" t="s">
        <v>797</v>
      </c>
      <c r="E81" s="12" t="s">
        <v>68</v>
      </c>
    </row>
    <row r="82" spans="1:5" x14ac:dyDescent="0.3">
      <c r="A82" s="12" t="s">
        <v>795</v>
      </c>
      <c r="B82" s="12" t="s">
        <v>829</v>
      </c>
      <c r="C82" s="12" t="s">
        <v>796</v>
      </c>
      <c r="D82" s="12" t="s">
        <v>797</v>
      </c>
      <c r="E82" s="12" t="s">
        <v>68</v>
      </c>
    </row>
    <row r="83" spans="1:5" x14ac:dyDescent="0.3">
      <c r="A83" s="12" t="s">
        <v>795</v>
      </c>
      <c r="B83" s="12" t="s">
        <v>830</v>
      </c>
      <c r="C83" s="12" t="s">
        <v>796</v>
      </c>
      <c r="D83" s="12" t="s">
        <v>797</v>
      </c>
      <c r="E83" s="12" t="s">
        <v>68</v>
      </c>
    </row>
    <row r="84" spans="1:5" x14ac:dyDescent="0.3">
      <c r="A84" s="12" t="s">
        <v>795</v>
      </c>
      <c r="B84" s="12" t="s">
        <v>831</v>
      </c>
      <c r="C84" s="12" t="s">
        <v>796</v>
      </c>
      <c r="D84" s="12" t="s">
        <v>797</v>
      </c>
      <c r="E84" s="12" t="s">
        <v>68</v>
      </c>
    </row>
    <row r="85" spans="1:5" x14ac:dyDescent="0.3">
      <c r="A85" s="12" t="s">
        <v>795</v>
      </c>
      <c r="B85" s="12" t="s">
        <v>832</v>
      </c>
      <c r="C85" s="12" t="s">
        <v>796</v>
      </c>
      <c r="D85" s="12" t="s">
        <v>797</v>
      </c>
      <c r="E85" s="12" t="s">
        <v>68</v>
      </c>
    </row>
    <row r="86" spans="1:5" x14ac:dyDescent="0.3">
      <c r="A86" s="12" t="s">
        <v>795</v>
      </c>
      <c r="B86" s="12" t="s">
        <v>833</v>
      </c>
      <c r="C86" s="12" t="s">
        <v>796</v>
      </c>
      <c r="D86" s="12" t="s">
        <v>797</v>
      </c>
      <c r="E86" s="12" t="s">
        <v>68</v>
      </c>
    </row>
    <row r="87" spans="1:5" x14ac:dyDescent="0.3">
      <c r="A87" s="12" t="s">
        <v>795</v>
      </c>
      <c r="B87" s="12" t="s">
        <v>834</v>
      </c>
      <c r="C87" s="12" t="s">
        <v>796</v>
      </c>
      <c r="D87" s="12" t="s">
        <v>797</v>
      </c>
      <c r="E87" s="12" t="s">
        <v>68</v>
      </c>
    </row>
    <row r="88" spans="1:5" x14ac:dyDescent="0.3">
      <c r="A88" s="12" t="s">
        <v>795</v>
      </c>
      <c r="B88" s="12" t="s">
        <v>835</v>
      </c>
      <c r="C88" s="12" t="s">
        <v>796</v>
      </c>
      <c r="D88" s="12" t="s">
        <v>797</v>
      </c>
      <c r="E88" s="12" t="s">
        <v>68</v>
      </c>
    </row>
    <row r="89" spans="1:5" x14ac:dyDescent="0.3">
      <c r="A89" s="12" t="s">
        <v>795</v>
      </c>
      <c r="B89" s="12" t="s">
        <v>836</v>
      </c>
      <c r="C89" s="12" t="s">
        <v>796</v>
      </c>
      <c r="D89" s="12" t="s">
        <v>797</v>
      </c>
      <c r="E89" s="12" t="s">
        <v>68</v>
      </c>
    </row>
    <row r="90" spans="1:5" x14ac:dyDescent="0.3">
      <c r="A90" s="12" t="s">
        <v>795</v>
      </c>
      <c r="B90" s="12" t="s">
        <v>837</v>
      </c>
      <c r="C90" s="12" t="s">
        <v>796</v>
      </c>
      <c r="D90" s="12" t="s">
        <v>797</v>
      </c>
      <c r="E90" s="12" t="s">
        <v>68</v>
      </c>
    </row>
    <row r="91" spans="1:5" x14ac:dyDescent="0.3">
      <c r="A91" s="12" t="s">
        <v>795</v>
      </c>
      <c r="B91" s="12" t="s">
        <v>838</v>
      </c>
      <c r="C91" s="12" t="s">
        <v>796</v>
      </c>
      <c r="D91" s="12" t="s">
        <v>797</v>
      </c>
      <c r="E91" s="12" t="s">
        <v>68</v>
      </c>
    </row>
    <row r="92" spans="1:5" x14ac:dyDescent="0.3">
      <c r="A92" s="12" t="s">
        <v>795</v>
      </c>
      <c r="B92" s="12" t="s">
        <v>839</v>
      </c>
      <c r="C92" s="12" t="s">
        <v>796</v>
      </c>
      <c r="D92" s="12" t="s">
        <v>797</v>
      </c>
      <c r="E92" s="12" t="s">
        <v>68</v>
      </c>
    </row>
    <row r="93" spans="1:5" x14ac:dyDescent="0.3">
      <c r="A93" s="12" t="s">
        <v>795</v>
      </c>
      <c r="B93" s="12" t="s">
        <v>840</v>
      </c>
      <c r="C93" s="12" t="s">
        <v>796</v>
      </c>
      <c r="D93" s="12" t="s">
        <v>797</v>
      </c>
      <c r="E93" s="12" t="s">
        <v>68</v>
      </c>
    </row>
    <row r="94" spans="1:5" x14ac:dyDescent="0.3">
      <c r="A94" s="12" t="s">
        <v>795</v>
      </c>
      <c r="B94" s="12" t="s">
        <v>841</v>
      </c>
      <c r="C94" s="12" t="s">
        <v>796</v>
      </c>
      <c r="D94" s="12" t="s">
        <v>797</v>
      </c>
      <c r="E94" s="12" t="s">
        <v>68</v>
      </c>
    </row>
    <row r="95" spans="1:5" x14ac:dyDescent="0.3">
      <c r="A95" s="12" t="s">
        <v>795</v>
      </c>
      <c r="B95" s="12" t="s">
        <v>842</v>
      </c>
      <c r="C95" s="12" t="s">
        <v>796</v>
      </c>
      <c r="D95" s="12" t="s">
        <v>797</v>
      </c>
      <c r="E95" s="12" t="s">
        <v>68</v>
      </c>
    </row>
    <row r="96" spans="1:5" x14ac:dyDescent="0.3">
      <c r="A96" s="12" t="s">
        <v>795</v>
      </c>
      <c r="B96" s="12" t="s">
        <v>843</v>
      </c>
      <c r="C96" s="12" t="s">
        <v>796</v>
      </c>
      <c r="D96" s="12" t="s">
        <v>797</v>
      </c>
      <c r="E96" s="12" t="s">
        <v>68</v>
      </c>
    </row>
    <row r="97" spans="1:5" x14ac:dyDescent="0.3">
      <c r="A97" s="12" t="s">
        <v>795</v>
      </c>
      <c r="B97" s="12" t="s">
        <v>844</v>
      </c>
      <c r="C97" s="12" t="s">
        <v>796</v>
      </c>
      <c r="D97" s="12" t="s">
        <v>797</v>
      </c>
      <c r="E97" s="12" t="s">
        <v>68</v>
      </c>
    </row>
    <row r="98" spans="1:5" x14ac:dyDescent="0.3">
      <c r="A98" s="12" t="s">
        <v>795</v>
      </c>
      <c r="B98" s="12" t="s">
        <v>845</v>
      </c>
      <c r="C98" s="12" t="s">
        <v>796</v>
      </c>
      <c r="D98" s="12" t="s">
        <v>797</v>
      </c>
      <c r="E98" s="12" t="s">
        <v>68</v>
      </c>
    </row>
    <row r="99" spans="1:5" x14ac:dyDescent="0.3">
      <c r="A99" s="12" t="s">
        <v>795</v>
      </c>
      <c r="B99" s="12" t="s">
        <v>846</v>
      </c>
      <c r="C99" s="12" t="s">
        <v>796</v>
      </c>
      <c r="D99" s="12" t="s">
        <v>797</v>
      </c>
      <c r="E99" s="12" t="s">
        <v>68</v>
      </c>
    </row>
    <row r="100" spans="1:5" x14ac:dyDescent="0.3">
      <c r="A100" s="12" t="s">
        <v>795</v>
      </c>
      <c r="B100" s="12" t="s">
        <v>847</v>
      </c>
      <c r="C100" s="12" t="s">
        <v>796</v>
      </c>
      <c r="D100" s="12" t="s">
        <v>797</v>
      </c>
      <c r="E100" s="12" t="s">
        <v>68</v>
      </c>
    </row>
    <row r="101" spans="1:5" x14ac:dyDescent="0.3">
      <c r="A101" s="12" t="s">
        <v>795</v>
      </c>
      <c r="B101" s="12" t="s">
        <v>848</v>
      </c>
      <c r="C101" s="12" t="s">
        <v>796</v>
      </c>
      <c r="D101" s="12" t="s">
        <v>797</v>
      </c>
      <c r="E101" s="12" t="s">
        <v>68</v>
      </c>
    </row>
    <row r="102" spans="1:5" x14ac:dyDescent="0.3">
      <c r="A102" s="12" t="s">
        <v>795</v>
      </c>
      <c r="B102" s="12" t="s">
        <v>849</v>
      </c>
      <c r="C102" s="12" t="s">
        <v>796</v>
      </c>
      <c r="D102" s="12" t="s">
        <v>797</v>
      </c>
      <c r="E102" s="12" t="s">
        <v>68</v>
      </c>
    </row>
    <row r="103" spans="1:5" x14ac:dyDescent="0.3">
      <c r="A103" s="12" t="s">
        <v>795</v>
      </c>
      <c r="B103" s="12" t="s">
        <v>850</v>
      </c>
      <c r="C103" s="12" t="s">
        <v>796</v>
      </c>
      <c r="D103" s="12" t="s">
        <v>797</v>
      </c>
      <c r="E103" s="12" t="s">
        <v>68</v>
      </c>
    </row>
    <row r="104" spans="1:5" ht="26.4" x14ac:dyDescent="0.3">
      <c r="A104" s="12" t="s">
        <v>851</v>
      </c>
      <c r="B104" s="12" t="s">
        <v>852</v>
      </c>
      <c r="C104" s="12" t="s">
        <v>796</v>
      </c>
      <c r="D104" s="12" t="s">
        <v>797</v>
      </c>
      <c r="E104" s="12" t="s">
        <v>68</v>
      </c>
    </row>
    <row r="105" spans="1:5" ht="26.4" x14ac:dyDescent="0.3">
      <c r="A105" s="12" t="s">
        <v>851</v>
      </c>
      <c r="B105" s="12" t="s">
        <v>853</v>
      </c>
      <c r="C105" s="12" t="s">
        <v>796</v>
      </c>
      <c r="D105" s="12" t="s">
        <v>797</v>
      </c>
      <c r="E105" s="12" t="s">
        <v>68</v>
      </c>
    </row>
    <row r="106" spans="1:5" ht="26.4" x14ac:dyDescent="0.3">
      <c r="A106" s="12" t="s">
        <v>851</v>
      </c>
      <c r="B106" s="12" t="s">
        <v>854</v>
      </c>
      <c r="C106" s="12" t="s">
        <v>796</v>
      </c>
      <c r="D106" s="12" t="s">
        <v>797</v>
      </c>
      <c r="E106" s="12" t="s">
        <v>68</v>
      </c>
    </row>
    <row r="107" spans="1:5" ht="26.4" x14ac:dyDescent="0.3">
      <c r="A107" s="12" t="s">
        <v>851</v>
      </c>
      <c r="B107" s="12" t="s">
        <v>855</v>
      </c>
      <c r="C107" s="12" t="s">
        <v>796</v>
      </c>
      <c r="D107" s="12" t="s">
        <v>797</v>
      </c>
      <c r="E107" s="12" t="s">
        <v>68</v>
      </c>
    </row>
    <row r="108" spans="1:5" ht="26.4" x14ac:dyDescent="0.3">
      <c r="A108" s="12" t="s">
        <v>851</v>
      </c>
      <c r="B108" s="12" t="s">
        <v>856</v>
      </c>
      <c r="C108" s="12" t="s">
        <v>796</v>
      </c>
      <c r="D108" s="12" t="s">
        <v>797</v>
      </c>
      <c r="E108" s="12" t="s">
        <v>68</v>
      </c>
    </row>
    <row r="109" spans="1:5" ht="26.4" x14ac:dyDescent="0.3">
      <c r="A109" s="12" t="s">
        <v>851</v>
      </c>
      <c r="B109" s="12" t="s">
        <v>857</v>
      </c>
      <c r="C109" s="12" t="s">
        <v>796</v>
      </c>
      <c r="D109" s="12" t="s">
        <v>797</v>
      </c>
      <c r="E109" s="12" t="s">
        <v>68</v>
      </c>
    </row>
    <row r="110" spans="1:5" ht="26.4" x14ac:dyDescent="0.3">
      <c r="A110" s="12" t="s">
        <v>851</v>
      </c>
      <c r="B110" s="12" t="s">
        <v>858</v>
      </c>
      <c r="C110" s="12" t="s">
        <v>796</v>
      </c>
      <c r="D110" s="12" t="s">
        <v>797</v>
      </c>
      <c r="E110" s="12" t="s">
        <v>68</v>
      </c>
    </row>
    <row r="111" spans="1:5" ht="26.4" x14ac:dyDescent="0.3">
      <c r="A111" s="12" t="s">
        <v>851</v>
      </c>
      <c r="B111" s="12" t="s">
        <v>859</v>
      </c>
      <c r="C111" s="12" t="s">
        <v>796</v>
      </c>
      <c r="D111" s="12" t="s">
        <v>797</v>
      </c>
      <c r="E111" s="12" t="s">
        <v>68</v>
      </c>
    </row>
    <row r="112" spans="1:5" ht="26.4" x14ac:dyDescent="0.3">
      <c r="A112" s="12" t="s">
        <v>851</v>
      </c>
      <c r="B112" s="12" t="s">
        <v>860</v>
      </c>
      <c r="C112" s="12" t="s">
        <v>796</v>
      </c>
      <c r="D112" s="12" t="s">
        <v>797</v>
      </c>
      <c r="E112" s="12" t="s">
        <v>68</v>
      </c>
    </row>
    <row r="113" spans="1:5" ht="26.4" x14ac:dyDescent="0.3">
      <c r="A113" s="12" t="s">
        <v>851</v>
      </c>
      <c r="B113" s="12" t="s">
        <v>861</v>
      </c>
      <c r="C113" s="12" t="s">
        <v>796</v>
      </c>
      <c r="D113" s="12" t="s">
        <v>797</v>
      </c>
      <c r="E113" s="12" t="s">
        <v>68</v>
      </c>
    </row>
    <row r="114" spans="1:5" ht="26.4" x14ac:dyDescent="0.3">
      <c r="A114" s="12" t="s">
        <v>851</v>
      </c>
      <c r="B114" s="12" t="s">
        <v>862</v>
      </c>
      <c r="C114" s="12" t="s">
        <v>796</v>
      </c>
      <c r="D114" s="12" t="s">
        <v>797</v>
      </c>
      <c r="E114" s="12" t="s">
        <v>68</v>
      </c>
    </row>
    <row r="115" spans="1:5" x14ac:dyDescent="0.3">
      <c r="A115" s="12" t="s">
        <v>851</v>
      </c>
      <c r="B115" s="12" t="s">
        <v>863</v>
      </c>
      <c r="C115" s="12" t="s">
        <v>796</v>
      </c>
      <c r="D115" s="12" t="s">
        <v>797</v>
      </c>
      <c r="E115" s="12" t="s">
        <v>68</v>
      </c>
    </row>
    <row r="116" spans="1:5" x14ac:dyDescent="0.3">
      <c r="A116" s="12" t="s">
        <v>851</v>
      </c>
      <c r="B116" s="12" t="s">
        <v>864</v>
      </c>
      <c r="C116" s="12" t="s">
        <v>796</v>
      </c>
      <c r="D116" s="12" t="s">
        <v>797</v>
      </c>
      <c r="E116" s="12" t="s">
        <v>68</v>
      </c>
    </row>
    <row r="117" spans="1:5" x14ac:dyDescent="0.3">
      <c r="A117" s="12" t="s">
        <v>851</v>
      </c>
      <c r="B117" s="12" t="s">
        <v>865</v>
      </c>
      <c r="C117" s="12" t="s">
        <v>796</v>
      </c>
      <c r="D117" s="12" t="s">
        <v>797</v>
      </c>
      <c r="E117" s="12" t="s">
        <v>68</v>
      </c>
    </row>
    <row r="118" spans="1:5" x14ac:dyDescent="0.3">
      <c r="A118" s="12" t="s">
        <v>851</v>
      </c>
      <c r="B118" s="12" t="s">
        <v>866</v>
      </c>
      <c r="C118" s="12" t="s">
        <v>796</v>
      </c>
      <c r="D118" s="12" t="s">
        <v>797</v>
      </c>
      <c r="E118" s="12" t="s">
        <v>68</v>
      </c>
    </row>
    <row r="119" spans="1:5" x14ac:dyDescent="0.3">
      <c r="A119" s="12" t="s">
        <v>851</v>
      </c>
      <c r="B119" s="12" t="s">
        <v>867</v>
      </c>
      <c r="C119" s="12" t="s">
        <v>796</v>
      </c>
      <c r="D119" s="12" t="s">
        <v>797</v>
      </c>
      <c r="E119" s="12" t="s">
        <v>68</v>
      </c>
    </row>
    <row r="120" spans="1:5" x14ac:dyDescent="0.3">
      <c r="A120" s="12" t="s">
        <v>851</v>
      </c>
      <c r="B120" s="12" t="s">
        <v>868</v>
      </c>
      <c r="C120" s="12" t="s">
        <v>796</v>
      </c>
      <c r="D120" s="12" t="s">
        <v>797</v>
      </c>
      <c r="E120" s="12" t="s">
        <v>68</v>
      </c>
    </row>
    <row r="121" spans="1:5" x14ac:dyDescent="0.3">
      <c r="A121" s="12" t="s">
        <v>851</v>
      </c>
      <c r="B121" s="12" t="s">
        <v>869</v>
      </c>
      <c r="C121" s="12" t="s">
        <v>796</v>
      </c>
      <c r="D121" s="12" t="s">
        <v>797</v>
      </c>
      <c r="E121" s="12" t="s">
        <v>68</v>
      </c>
    </row>
  </sheetData>
  <conditionalFormatting sqref="E2:E121">
    <cfRule type="cellIs" dxfId="1" priority="2" operator="equal">
      <formula>"Pass"</formula>
    </cfRule>
    <cfRule type="cellIs" dxfId="0" priority="3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Black-Box Test Cases</vt:lpstr>
      <vt:lpstr>White-Box</vt:lpstr>
      <vt:lpstr>BVA</vt:lpstr>
      <vt:lpstr>ECP</vt:lpstr>
      <vt:lpstr>Bug Report</vt:lpstr>
      <vt:lpstr>Automated Tests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Samrudhi Madankar</cp:lastModifiedBy>
  <cp:revision>0</cp:revision>
  <dcterms:created xsi:type="dcterms:W3CDTF">2026-10-25T13:58:36Z</dcterms:created>
  <dcterms:modified xsi:type="dcterms:W3CDTF">2026-10-25T14:05:02Z</dcterms:modified>
  <dc:language>en-US</dc:language>
</cp:coreProperties>
</file>